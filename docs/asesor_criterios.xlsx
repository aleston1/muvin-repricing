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ómo usar" sheetId="1" state="visible" r:id="rId1"/>
    <sheet name="Control" sheetId="2" state="visible" r:id="rId2"/>
    <sheet name="Datos obligatorios" sheetId="3" state="visible" r:id="rId3"/>
    <sheet name="Etapas" sheetId="4" state="visible" r:id="rId4"/>
    <sheet name="Criterios" sheetId="5" state="visible" r:id="rId5"/>
    <sheet name="Productos" sheetId="6" state="visible" r:id="rId6"/>
    <sheet name="Accesorios" sheetId="7" state="visible" r:id="rId7"/>
    <sheet name="Sugerencias" sheetId="8" state="visible" r:id="rId8"/>
    <sheet name="Altura por modelo" sheetId="9" state="visible" r:id="rId9"/>
    <sheet name="Talles genéricos" sheetId="10" state="visible" r:id="rId10"/>
    <sheet name="Listas" sheetId="11" state="visible" r:id="rId11"/>
  </sheets>
  <definedNames>
    <definedName name="_xlnm._FilterDatabase" localSheetId="5" hidden="1">'Productos'!$A$1:$AC$129</definedName>
    <definedName name="_xlnm._FilterDatabase" localSheetId="8" hidden="1">'Altura por modelo'!$A$1:$I$266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sz val="11"/>
    </font>
    <font>
      <b val="1"/>
      <sz val="11"/>
    </font>
    <font>
      <b val="1"/>
      <color rgb="00FFFFFF"/>
    </font>
    <font>
      <i val="1"/>
    </font>
    <font>
      <b val="1"/>
    </font>
    <font>
      <b val="1"/>
      <sz val="13"/>
    </font>
  </fonts>
  <fills count="6">
    <fill>
      <patternFill/>
    </fill>
    <fill>
      <patternFill patternType="gray125"/>
    </fill>
    <fill>
      <patternFill patternType="solid">
        <fgColor rgb="0015181C"/>
      </patternFill>
    </fill>
    <fill>
      <patternFill patternType="solid">
        <fgColor rgb="00E5F4EA"/>
      </patternFill>
    </fill>
    <fill>
      <patternFill patternType="solid">
        <fgColor rgb="00FDF3D8"/>
      </patternFill>
    </fill>
    <fill>
      <patternFill patternType="solid">
        <fgColor rgb="00FCE4E4"/>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7" fillId="0" borderId="0" pivotButton="0" quotePrefix="0" xfId="0"/>
    <xf numFmtId="0" fontId="4" fillId="2" borderId="0"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horizontal="center"/>
    </xf>
    <xf numFmtId="0" fontId="0" fillId="3" borderId="0" pivotButton="0" quotePrefix="0" xfId="0"/>
    <xf numFmtId="0" fontId="0" fillId="4" borderId="0" pivotButton="0" quotePrefix="0" xfId="0"/>
    <xf numFmtId="0" fontId="5" fillId="0" borderId="0" pivotButton="0" quotePrefix="0" xfId="0"/>
    <xf numFmtId="0" fontId="0" fillId="5" borderId="0" pivotButton="0" quotePrefix="0" xfId="0"/>
    <xf numFmtId="0" fontId="6"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Asesor</author>
  </authors>
  <commentList>
    <comment ref="A1" authorId="0" shapeId="0">
      <text>
        <t>ID del producto en Tiendanube (número en la URL del admin). Es la llave con la que el asesor cruza stock y precio en vivo.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20" customWidth="1" min="1" max="1"/>
  </cols>
  <sheetData>
    <row r="1">
      <c r="A1" s="1" t="inlineStr">
        <is>
          <t>Mapa de criterios del Asesor Muvin</t>
        </is>
      </c>
    </row>
    <row r="2">
      <c r="A2" s="2" t="inlineStr"/>
    </row>
    <row r="3">
      <c r="A3" s="2" t="inlineStr">
        <is>
          <t>Esta planilla define CÓMO recomienda el asesor. El código la lee cada pocos minutos: lo que cambies acá se refleja en la web sin programar.</t>
        </is>
      </c>
    </row>
    <row r="4">
      <c r="A4" s="2" t="inlineStr">
        <is>
          <t>Precio y stock NO se cargan acá: salen en vivo de Tiendanube. Un producto solo se recomienda si tiene stock en la variante (talle/color) que le sirve al cliente.</t>
        </is>
      </c>
    </row>
    <row r="5">
      <c r="A5" s="2" t="inlineStr"/>
    </row>
    <row r="6">
      <c r="A6" s="3" t="inlineStr">
        <is>
          <t>Pestañas</t>
        </is>
      </c>
    </row>
    <row r="7">
      <c r="A7" s="2" t="inlineStr">
        <is>
          <t>• Control: cuántos productos se ofrecen y cuántos no por falta de datos.</t>
        </is>
      </c>
    </row>
    <row r="8">
      <c r="A8" s="2" t="inlineStr">
        <is>
          <t>• Datos obligatorios: la regla. Si a un producto le falta UN dato obligatorio, NO se ofrece.</t>
        </is>
      </c>
    </row>
    <row r="9">
      <c r="A9" s="2" t="inlineStr">
        <is>
          <t>• Etapas: las preguntas que hace el asesor, en orden, con sus opciones y qué criterio alimenta cada una.</t>
        </is>
      </c>
    </row>
    <row r="10">
      <c r="A10" s="2" t="inlineStr">
        <is>
          <t>• Criterios: el diccionario de cada criterio (qué significa, si es filtro o suma puntaje, valores posibles).</t>
        </is>
      </c>
    </row>
    <row r="11">
      <c r="A11" s="2" t="inlineStr">
        <is>
          <t>• Productos: una fila por producto de Tiendanube (vehículos). Acá se marca bajo qué criterios se recomienda cada uno.</t>
        </is>
      </c>
    </row>
    <row r="12">
      <c r="A12" s="2" t="inlineStr">
        <is>
          <t>• Accesorios: qué va en el combo (Esencial / Completo) según el vehículo y las respuestas.</t>
        </is>
      </c>
    </row>
    <row r="13">
      <c r="A13" s="2" t="inlineStr">
        <is>
          <t>• Sugerencias: TODAS las categorías de la tienda y cuándo mostrarlas después del combo ('Completá tu equipo', 'También te puede interesar', 'Para más adelante').</t>
        </is>
      </c>
    </row>
    <row r="14">
      <c r="A14" s="2" t="inlineStr">
        <is>
          <t>• Altura por modelo: una fila por bici y por talle con su rango de altura (varía por marca y por modelo). Verde = cargado, amarillo = estimado, rojo = completar.</t>
        </is>
      </c>
    </row>
    <row r="15">
      <c r="A15" s="2" t="inlineStr">
        <is>
          <t>• Talles genéricos: respaldo cuando un modelo no tiene guía cargada, y altura por rodado para infantiles.</t>
        </is>
      </c>
    </row>
    <row r="16">
      <c r="A16" s="2" t="inlineStr">
        <is>
          <t>• Listas: valores válidos para los desplegables.</t>
        </is>
      </c>
    </row>
    <row r="17">
      <c r="A17" s="2" t="inlineStr"/>
    </row>
    <row r="18">
      <c r="A18" s="3" t="inlineStr">
        <is>
          <t>Colores en la pestaña Productos</t>
        </is>
      </c>
    </row>
    <row r="19">
      <c r="A19" s="2" t="inlineStr">
        <is>
          <t>Verde = dato tomado de la ficha del producto en Tiendanube.   Amarillo = estimado por tipo de producto: REVISAR.   Sin color = a completar.</t>
        </is>
      </c>
    </row>
    <row r="20">
      <c r="A20" s="2" t="inlineStr"/>
    </row>
    <row r="21">
      <c r="A21" s="3" t="inlineStr">
        <is>
          <t>Reglas de oro</t>
        </is>
      </c>
    </row>
    <row r="22">
      <c r="A22" s="2" t="inlineStr">
        <is>
          <t>1. Si un producto no está en la pestaña Productos o tiene 'Activo en asesor' = No, el asesor nunca lo recomienda.</t>
        </is>
      </c>
    </row>
    <row r="23">
      <c r="A23" s="2" t="inlineStr">
        <is>
          <t>2. Productos nuevos: se agregan con su ID de Tiendanube (lo ves en la URL del admin). El asesor avisa en un log los productos con stock que no están mapeados.</t>
        </is>
      </c>
    </row>
    <row r="24">
      <c r="A24" s="2" t="inlineStr">
        <is>
          <t>3. 'Prioridad' (0 a 3) desempata: sirve para empujar lo que conviene vender (margen, sobrestock, lanzamientos).</t>
        </is>
      </c>
    </row>
    <row r="25">
      <c r="A25" s="2" t="inlineStr">
        <is>
          <t>4. Categorías nuevas (ej. patinetas, accesorios de camping): se agrega el tipo en Listas, sus preguntas en Etapas y sus productos en Productos.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58" customWidth="1" min="1" max="1"/>
    <col width="14" customWidth="1" min="2" max="2"/>
  </cols>
  <sheetData>
    <row r="1">
      <c r="A1" s="4" t="inlineStr">
        <is>
          <t>Control de datos del asesor</t>
        </is>
      </c>
    </row>
    <row r="2">
      <c r="A2" t="inlineStr">
        <is>
          <t>Se recalcula solo al editar la planilla. El asesor aplica las mismas reglas del lado del servidor.</t>
        </is>
      </c>
    </row>
    <row r="4">
      <c r="A4" t="inlineStr">
        <is>
          <t>Vehículos en la planilla</t>
        </is>
      </c>
      <c r="B4" s="5">
        <f>COUNTA(Productos!A2:A1000)</f>
        <v/>
      </c>
    </row>
    <row r="5">
      <c r="A5" t="inlineStr">
        <is>
          <t>✅ Listos para ofrecer</t>
        </is>
      </c>
      <c r="B5" s="5">
        <f>COUNTIF(Productos!C2:C1000,"SÍ")</f>
        <v/>
      </c>
    </row>
    <row r="6">
      <c r="A6" t="inlineStr">
        <is>
          <t>⛔ NO se ofrecen (les falta algún dato)</t>
        </is>
      </c>
      <c r="B6" s="5">
        <f>COUNTIF(Productos!C2:C1000,"NO")</f>
        <v/>
      </c>
    </row>
    <row r="7">
      <c r="A7" t="inlineStr">
        <is>
          <t>Filas de altura por completar</t>
        </is>
      </c>
      <c r="B7" s="5">
        <f>COUNTIF('Altura por modelo'!H2:H2000,"COMPLETAR*")</f>
        <v/>
      </c>
    </row>
    <row r="8">
      <c r="A8" t="inlineStr">
        <is>
          <t>Filas de altura estimadas (a validar)</t>
        </is>
      </c>
      <c r="B8" s="5">
        <f>COUNTIF('Altura por modelo'!H2:H2000,"Estimado*")</f>
        <v/>
      </c>
    </row>
    <row r="10">
      <c r="A10" t="inlineStr">
        <is>
          <t>Para ver qué le falta a cada uno: solapa Productos, filtrar la columna '¿Se ofrece?' = NO y leer 'Qué falta'.</t>
        </is>
      </c>
    </row>
    <row r="11">
      <c r="A11" t="inlineStr">
        <is>
          <t>Vehículos con stock en Tiendanube que no figuran en la planilla: los lista la página /asesor/control del servidor.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34" customWidth="1" min="3" max="3"/>
    <col width="60" customWidth="1" min="4" max="4"/>
  </cols>
  <sheetData>
    <row r="1" ht="34" customHeight="1">
      <c r="A1" s="6" t="inlineStr">
        <is>
          <t>Dato</t>
        </is>
      </c>
      <c r="B1" s="6" t="inlineStr">
        <is>
          <t>Obligatorio para</t>
        </is>
      </c>
      <c r="C1" s="6" t="inlineStr">
        <is>
          <t>Dónde se carga</t>
        </is>
      </c>
      <c r="D1" s="6" t="inlineStr">
        <is>
          <t>Qué pasa si falta</t>
        </is>
      </c>
    </row>
    <row r="2">
      <c r="A2" s="7" t="inlineStr">
        <is>
          <t>Fila en la solapa Productos</t>
        </is>
      </c>
      <c r="B2" s="7" t="inlineStr">
        <is>
          <t>Todo vehículo con stock</t>
        </is>
      </c>
      <c r="C2" s="7" t="inlineStr">
        <is>
          <t>Productos</t>
        </is>
      </c>
      <c r="D2" s="7" t="inlineStr">
        <is>
          <t>Un vehículo con stock en Tiendanube que no está en la planilla NO se ofrece. El control lo lista.</t>
        </is>
      </c>
    </row>
    <row r="3">
      <c r="A3" s="7" t="inlineStr">
        <is>
          <t>Tipo de vehículo</t>
        </is>
      </c>
      <c r="B3" s="7" t="inlineStr">
        <is>
          <t>Todos los vehículos</t>
        </is>
      </c>
      <c r="C3" s="7" t="inlineStr">
        <is>
          <t>Productos</t>
        </is>
      </c>
      <c r="D3" s="7" t="inlineStr">
        <is>
          <t>El producto NO se ofrece en el asesor (ni en combos ni en sugerencias) hasta que se complete.</t>
        </is>
      </c>
    </row>
    <row r="4">
      <c r="A4" s="7" t="inlineStr">
        <is>
          <t>Propulsión</t>
        </is>
      </c>
      <c r="B4" s="7" t="inlineStr">
        <is>
          <t>Todos los vehículos</t>
        </is>
      </c>
      <c r="C4" s="7" t="inlineStr">
        <is>
          <t>Productos</t>
        </is>
      </c>
      <c r="D4" s="7" t="inlineStr">
        <is>
          <t>El producto NO se ofrece en el asesor (ni en combos ni en sugerencias) hasta que se complete.</t>
        </is>
      </c>
    </row>
    <row r="5">
      <c r="A5" s="7" t="inlineStr">
        <is>
          <t>Al menos un uso en 'Sí'</t>
        </is>
      </c>
      <c r="B5" s="7" t="inlineStr">
        <is>
          <t>Todos los vehículos</t>
        </is>
      </c>
      <c r="C5" s="7" t="inlineStr">
        <is>
          <t>Productos</t>
        </is>
      </c>
      <c r="D5" s="7" t="inlineStr">
        <is>
          <t>El producto NO se ofrece en el asesor (ni en combos ni en sugerencias) hasta que se complete.</t>
        </is>
      </c>
    </row>
    <row r="6">
      <c r="A6" s="7" t="inlineStr">
        <is>
          <t>Acepta silla de niños (Sí/No; 'Revisar' cuenta como vacío)</t>
        </is>
      </c>
      <c r="B6" s="7" t="inlineStr">
        <is>
          <t>Todos los vehículos</t>
        </is>
      </c>
      <c r="C6" s="7" t="inlineStr">
        <is>
          <t>Productos</t>
        </is>
      </c>
      <c r="D6" s="7" t="inlineStr">
        <is>
          <t>El producto NO se ofrece en el asesor (ni en combos ni en sugerencias) hasta que se complete.</t>
        </is>
      </c>
    </row>
    <row r="7">
      <c r="A7" s="7" t="inlineStr">
        <is>
          <t>Neumáticos con aire</t>
        </is>
      </c>
      <c r="B7" s="7" t="inlineStr">
        <is>
          <t>Todos los vehículos</t>
        </is>
      </c>
      <c r="C7" s="7" t="inlineStr">
        <is>
          <t>Productos</t>
        </is>
      </c>
      <c r="D7" s="7" t="inlineStr">
        <is>
          <t>El producto NO se ofrece en el asesor (ni en combos ni en sugerencias) hasta que se complete.</t>
        </is>
      </c>
    </row>
    <row r="8">
      <c r="A8" s="7" t="inlineStr">
        <is>
          <t>Terreno apto</t>
        </is>
      </c>
      <c r="B8" s="7" t="inlineStr">
        <is>
          <t>Todos los vehículos</t>
        </is>
      </c>
      <c r="C8" s="7" t="inlineStr">
        <is>
          <t>Productos</t>
        </is>
      </c>
      <c r="D8" s="7" t="inlineStr">
        <is>
          <t>El producto NO se ofrece en el asesor (ni en combos ni en sugerencias) hasta que se complete.</t>
        </is>
      </c>
    </row>
    <row r="9">
      <c r="A9" s="7" t="inlineStr">
        <is>
          <t>Requiere licencia/patente (Sí/No; 'Revisar' cuenta como vacío)</t>
        </is>
      </c>
      <c r="B9" s="7" t="inlineStr">
        <is>
          <t>Todos los vehículos</t>
        </is>
      </c>
      <c r="C9" s="7" t="inlineStr">
        <is>
          <t>Productos</t>
        </is>
      </c>
      <c r="D9" s="7" t="inlineStr">
        <is>
          <t>El producto NO se ofrece en el asesor (ni en combos ni en sugerencias) hasta que se complete.</t>
        </is>
      </c>
    </row>
    <row r="10">
      <c r="A10" s="7" t="inlineStr">
        <is>
          <t>Plegable</t>
        </is>
      </c>
      <c r="B10" s="7" t="inlineStr">
        <is>
          <t>Todos los vehículos</t>
        </is>
      </c>
      <c r="C10" s="7" t="inlineStr">
        <is>
          <t>Productos</t>
        </is>
      </c>
      <c r="D10" s="7" t="inlineStr">
        <is>
          <t>El producto NO se ofrece en el asesor (ni en combos ni en sugerencias) hasta que se complete.</t>
        </is>
      </c>
    </row>
    <row r="11">
      <c r="A11" s="7" t="inlineStr">
        <is>
          <t>Peso (kg)</t>
        </is>
      </c>
      <c r="B11" s="7" t="inlineStr">
        <is>
          <t>Todos los vehículos</t>
        </is>
      </c>
      <c r="C11" s="7" t="inlineStr">
        <is>
          <t>Productos</t>
        </is>
      </c>
      <c r="D11" s="7" t="inlineStr">
        <is>
          <t>El producto NO se ofrece en el asesor (ni en combos ni en sugerencias) hasta que se complete.</t>
        </is>
      </c>
    </row>
    <row r="12">
      <c r="A12" s="7" t="inlineStr">
        <is>
          <t>Autonomía (km)</t>
        </is>
      </c>
      <c r="B12" s="7" t="inlineStr">
        <is>
          <t>Todo lo que tiene motor</t>
        </is>
      </c>
      <c r="C12" s="7" t="inlineStr">
        <is>
          <t>Productos</t>
        </is>
      </c>
      <c r="D12" s="7" t="inlineStr">
        <is>
          <t>El producto NO se ofrece en el asesor (ni en combos ni en sugerencias) hasta que se complete.</t>
        </is>
      </c>
    </row>
    <row r="13">
      <c r="A13" s="7" t="inlineStr">
        <is>
          <t>Velocidad máx (km/h)</t>
        </is>
      </c>
      <c r="B13" s="7" t="inlineStr">
        <is>
          <t>Todo lo que tiene motor</t>
        </is>
      </c>
      <c r="C13" s="7" t="inlineStr">
        <is>
          <t>Productos</t>
        </is>
      </c>
      <c r="D13" s="7" t="inlineStr">
        <is>
          <t>El producto NO se ofrece en el asesor (ni en combos ni en sugerencias) hasta que se complete.</t>
        </is>
      </c>
    </row>
    <row r="14">
      <c r="A14" s="7" t="inlineStr">
        <is>
          <t>Carga máx (kg)</t>
        </is>
      </c>
      <c r="B14" s="7" t="inlineStr">
        <is>
          <t>Todo lo que tiene motor</t>
        </is>
      </c>
      <c r="C14" s="7" t="inlineStr">
        <is>
          <t>Productos</t>
        </is>
      </c>
      <c r="D14" s="7" t="inlineStr">
        <is>
          <t>El producto NO se ofrece en el asesor (ni en combos ni en sugerencias) hasta que se complete.</t>
        </is>
      </c>
    </row>
    <row r="15">
      <c r="A15" s="7" t="inlineStr">
        <is>
          <t>Rango de altura de CADA talle (o de 'Único')</t>
        </is>
      </c>
      <c r="B15" s="7" t="inlineStr">
        <is>
          <t>Todas las bicis</t>
        </is>
      </c>
      <c r="C15" s="7" t="inlineStr">
        <is>
          <t>Altura por modelo</t>
        </is>
      </c>
      <c r="D15" s="7" t="inlineStr">
        <is>
          <t>Si falta UN talle, la bici entera no se ofrece.</t>
        </is>
      </c>
    </row>
    <row r="16">
      <c r="A16" s="7" t="inlineStr">
        <is>
          <t>Activo en asesor = Sí</t>
        </is>
      </c>
      <c r="B16" s="7" t="inlineStr">
        <is>
          <t>Todos los vehículos</t>
        </is>
      </c>
      <c r="C16" s="7" t="inlineStr">
        <is>
          <t>Productos</t>
        </is>
      </c>
      <c r="D16" s="7" t="inlineStr">
        <is>
          <t>Con 'No' se saca a propósito.</t>
        </is>
      </c>
    </row>
    <row r="17">
      <c r="A17" s="7" t="inlineStr">
        <is>
          <t>Publicado, con precio y con al menos una foto</t>
        </is>
      </c>
      <c r="B17" s="7" t="inlineStr">
        <is>
          <t>Todos los productos (vehículos y accesorios)</t>
        </is>
      </c>
      <c r="C17" s="7" t="inlineStr">
        <is>
          <t>Tiendanube</t>
        </is>
      </c>
      <c r="D17" s="7" t="inlineStr">
        <is>
          <t>Lo controla el asesor en vivo.</t>
        </is>
      </c>
    </row>
    <row r="18">
      <c r="A18" s="7" t="inlineStr">
        <is>
          <t>Stock en la variante que le sirve al cliente</t>
        </is>
      </c>
      <c r="B18" s="7" t="inlineStr">
        <is>
          <t>Todos los productos</t>
        </is>
      </c>
      <c r="C18" s="7" t="inlineStr">
        <is>
          <t>Tiendanube</t>
        </is>
      </c>
      <c r="D18" s="7" t="inlineStr">
        <is>
          <t>Lo controla el asesor en vivo.</t>
        </is>
      </c>
    </row>
    <row r="19">
      <c r="A19" s="7" t="inlineStr">
        <is>
          <t>Opcionales (no bloquean)</t>
        </is>
      </c>
      <c r="B19" s="7" t="inlineStr">
        <is>
          <t>—</t>
        </is>
      </c>
      <c r="C19" s="7" t="inlineStr">
        <is>
          <t>Productos</t>
        </is>
      </c>
      <c r="D19" s="7" t="inlineStr">
        <is>
          <t>Subida máx, Nivel, Prioridad, Argumento de venta y Notas mejoran la recomendación pero no son obligatorios.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34" customWidth="1" min="3" max="3"/>
    <col width="48" customWidth="1" min="4" max="4"/>
    <col width="22" customWidth="1" min="5" max="5"/>
    <col width="58" customWidth="1" min="6" max="6"/>
    <col width="30" customWidth="1" min="7" max="7"/>
  </cols>
  <sheetData>
    <row r="1" ht="34" customHeight="1">
      <c r="A1" s="6" t="inlineStr">
        <is>
          <t>#</t>
        </is>
      </c>
      <c r="B1" s="6" t="inlineStr">
        <is>
          <t>Etapa</t>
        </is>
      </c>
      <c r="C1" s="6" t="inlineStr">
        <is>
          <t>Pregunta al cliente</t>
        </is>
      </c>
      <c r="D1" s="6" t="inlineStr">
        <is>
          <t>Opciones (lo que ve el cliente)</t>
        </is>
      </c>
      <c r="E1" s="6" t="inlineStr">
        <is>
          <t>Criterio que alimenta</t>
        </is>
      </c>
      <c r="F1" s="6" t="inlineStr">
        <is>
          <t>Cómo decide</t>
        </is>
      </c>
      <c r="G1" s="6" t="inlineStr">
        <is>
          <t>Se pregunta si…</t>
        </is>
      </c>
    </row>
    <row r="2">
      <c r="A2" s="7" t="n">
        <v>1</v>
      </c>
      <c r="B2" s="7" t="inlineStr">
        <is>
          <t>Necesidad</t>
        </is>
      </c>
      <c r="C2" s="7" t="inlineStr">
        <is>
          <t>¿Qué querés resolver?</t>
        </is>
      </c>
      <c r="D2" s="7" t="inlineStr">
        <is>
          <t>(OPCIÓN MÚLTIPLE)
Moverme todos los días (trabajo, estudio, trámites)
Pasear y disfrutar
Hacer deporte o salir a la naturaleza
Llevar a los chicos
Llevar carga (compras, trabajo, mascota)
Es para un chico o chica</t>
        </is>
      </c>
      <c r="E2" s="7" t="inlineStr">
        <is>
          <t>Usos / Acepta silla de niños</t>
        </is>
      </c>
      <c r="F2" s="7" t="inlineStr">
        <is>
          <t>Se pueden marcar varias. FILTRO: el producto tiene que cumplir al menos una; cuantas más cumple, más puntaje. 'Llevar a los chicos' también lo cumple una bici con 'Acepta silla de niños' = Sí: en ese caso se suma la silla al combo. 'Llevar carga' suma portapaquetes, canasto o alforjas. Todavía no se habla de bici, monopatín ni moto.</t>
        </is>
      </c>
      <c r="G2" s="7" t="inlineStr">
        <is>
          <t>Siempre</t>
        </is>
      </c>
    </row>
    <row r="3">
      <c r="A3" s="7" t="n">
        <v>2</v>
      </c>
      <c r="B3" s="7" t="inlineStr">
        <is>
          <t>Distancia</t>
        </is>
      </c>
      <c r="C3" s="7" t="inlineStr">
        <is>
          <t>¿Cuántos km hacés por trayecto? (solo ida)</t>
        </is>
      </c>
      <c r="D3" s="7" t="inlineStr">
        <is>
          <t>Menos de 5 km
Entre 5 y 15 km
Entre 15 y 30 km
Más de 30 km</t>
        </is>
      </c>
      <c r="E3" s="7" t="inlineStr">
        <is>
          <t>Autonomía (km) / Propulsión</t>
        </is>
      </c>
      <c r="F3" s="7" t="inlineStr">
        <is>
          <t>Eléctricos: FILTRO autonomía ≥ ida y vuelta × 1,5 (margen por frío, subidas, peso). Sin motor: más de 15 km suma puntaje a los eléctricos y a bicis de ruta/gravel.</t>
        </is>
      </c>
      <c r="G3" s="7" t="inlineStr">
        <is>
          <t>Necesidad ≠ chico</t>
        </is>
      </c>
    </row>
    <row r="4">
      <c r="A4" s="7" t="n">
        <v>3</v>
      </c>
      <c r="B4" s="7" t="inlineStr">
        <is>
          <t>Terreno</t>
        </is>
      </c>
      <c r="C4" s="7" t="inlineStr">
        <is>
          <t>¿Cómo es el recorrido?</t>
        </is>
      </c>
      <c r="D4" s="7" t="inlineStr">
        <is>
          <t>Llano, asfalto o bicisenda
Con subidas o puentes
Tierra, ripio o senderos
Un poco de todo</t>
        </is>
      </c>
      <c r="E4" s="7" t="inlineStr">
        <is>
          <t>Terreno apto / Subida máx (%)</t>
        </is>
      </c>
      <c r="F4" s="7" t="inlineStr">
        <is>
          <t>FILTRO: el terreno tiene que estar entre los aptos. Con subidas suma a eléctricos y a monopatines con subida máx ≥ 20%.</t>
        </is>
      </c>
      <c r="G4" s="7" t="inlineStr">
        <is>
          <t>Siempre</t>
        </is>
      </c>
    </row>
    <row r="5">
      <c r="A5" s="7" t="n">
        <v>4</v>
      </c>
      <c r="B5" s="7" t="inlineStr">
        <is>
          <t>Esfuerzo</t>
        </is>
      </c>
      <c r="C5" s="7" t="inlineStr">
        <is>
          <t>¿Cuánto querés pedalear?</t>
        </is>
      </c>
      <c r="D5" s="7" t="inlineStr">
        <is>
          <t>Quiero pedalear, también es ejercicio
Pedalear, pero con ayuda de un motor
Nada, quiero que me lleve</t>
        </is>
      </c>
      <c r="E5" s="7" t="inlineStr">
        <is>
          <t>Propulsión</t>
        </is>
      </c>
      <c r="F5" s="7" t="inlineStr">
        <is>
          <t>FILTRO: Pedal → bicis sin motor. Ayuda → bicis eléctricas (pedaleo asistido). Nada → monopatines, motos y e-bikes con acelerador. Es la pregunta que separa las categorías.</t>
        </is>
      </c>
      <c r="G5" s="7" t="inlineStr">
        <is>
          <t>Necesidad ≠ chico</t>
        </is>
      </c>
    </row>
    <row r="6">
      <c r="A6" s="7" t="n">
        <v>5</v>
      </c>
      <c r="B6" s="7" t="inlineStr">
        <is>
          <t>Velocidad y papeles</t>
        </is>
      </c>
      <c r="C6" s="7" t="inlineStr">
        <is>
          <t>¿Por dónde vas a circular?</t>
        </is>
      </c>
      <c r="D6" s="7" t="inlineStr">
        <is>
          <t>Bicisendas y calles tranquilas (hasta 25 km/h)
Calles y avenidas (hasta 45 km/h)
Avenidas rápidas y accesos (más de 45 km/h)</t>
        </is>
      </c>
      <c r="E6" s="7" t="inlineStr">
        <is>
          <t>Velocidad máx / Requiere licencia</t>
        </is>
      </c>
      <c r="F6" s="7" t="inlineStr">
        <is>
          <t>FILTRO por velocidad máx. Si elige más de 45 km/h se aclara que requiere licencia y patente, y se pregunta si la tiene o la sacaría.</t>
        </is>
      </c>
      <c r="G6" s="7" t="inlineStr">
        <is>
          <t>Esfuerzo = Nada</t>
        </is>
      </c>
    </row>
    <row r="7">
      <c r="A7" s="7" t="n">
        <v>6</v>
      </c>
      <c r="B7" s="7" t="inlineStr">
        <is>
          <t>Portabilidad</t>
        </is>
      </c>
      <c r="C7" s="7" t="inlineStr">
        <is>
          <t>¿Lo tenés que cargar o combinar con otro transporte?</t>
        </is>
      </c>
      <c r="D7" s="7" t="inlineStr">
        <is>
          <t>Lo subo por escaleras
Lo combino con tren, subte o auto
Lo guardo en planta baja, cochera o patio</t>
        </is>
      </c>
      <c r="E7" s="7" t="inlineStr">
        <is>
          <t>Plegable / Peso (kg)</t>
        </is>
      </c>
      <c r="F7" s="7" t="inlineStr">
        <is>
          <t>Escaleras: FILTRO peso ≤ 20 kg (suma si ≤ 15). Combinar: FILTRO plegable = Sí. Planta baja: sin restricción.</t>
        </is>
      </c>
      <c r="G7" s="7" t="inlineStr">
        <is>
          <t>Necesidad ≠ chico</t>
        </is>
      </c>
    </row>
    <row r="8">
      <c r="A8" s="7" t="n">
        <v>7</v>
      </c>
      <c r="B8" s="7" t="inlineStr">
        <is>
          <t>Estacionamiento</t>
        </is>
      </c>
      <c r="C8" s="7" t="inlineStr">
        <is>
          <t>¿Lo vas a dejar estacionado en la calle?</t>
        </is>
      </c>
      <c r="D8" s="7" t="inlineStr">
        <is>
          <t>Sí, en la calle
No, lo guardo adentro</t>
        </is>
      </c>
      <c r="E8" s="7" t="inlineStr">
        <is>
          <t>Accesorios (candado)</t>
        </is>
      </c>
      <c r="F8" s="7" t="inlineStr">
        <is>
          <t>Define el candado del combo (alta seguridad vs. liviano). No filtra vehículos.</t>
        </is>
      </c>
      <c r="G8" s="7" t="inlineStr">
        <is>
          <t>Siempre</t>
        </is>
      </c>
    </row>
    <row r="9">
      <c r="A9" s="7" t="n">
        <v>8</v>
      </c>
      <c r="B9" s="7" t="inlineStr">
        <is>
          <t>Noche</t>
        </is>
      </c>
      <c r="C9" s="7" t="inlineStr">
        <is>
          <t>¿Vas a circular de noche?</t>
        </is>
      </c>
      <c r="D9" s="7" t="inlineStr">
        <is>
          <t>Casi siempre de día
Sí, también de noche</t>
        </is>
      </c>
      <c r="E9" s="7" t="inlineStr">
        <is>
          <t>Accesorios (luces / reflectivos)</t>
        </is>
      </c>
      <c r="F9" s="7" t="inlineStr">
        <is>
          <t>Define luces y chaleco del combo. No filtra vehículos.</t>
        </is>
      </c>
      <c r="G9" s="7" t="inlineStr">
        <is>
          <t>Siempre</t>
        </is>
      </c>
    </row>
    <row r="10">
      <c r="A10" s="7" t="n">
        <v>9</v>
      </c>
      <c r="B10" s="7" t="inlineStr">
        <is>
          <t>Altura</t>
        </is>
      </c>
      <c r="C10" s="7" t="inlineStr">
        <is>
          <t>¿Cuánto medís?</t>
        </is>
      </c>
      <c r="D10" s="7" t="inlineStr">
        <is>
          <t>Deslizador 90–210 cm</t>
        </is>
      </c>
      <c r="E10" s="7" t="inlineStr">
        <is>
          <t>Altura mín / máx / Talles</t>
        </is>
      </c>
      <c r="F10" s="7" t="inlineStr">
        <is>
          <t>FILTRO: altura dentro del rango del producto. Si tiene talles, se busca una variante CON STOCK en el talle que corresponde según la tabla DE ESE MODELO (pestaña 'Altura por modelo'). Si el modelo no tiene tabla cargada, se usa 'Talles genéricos' y el asesor lo muestra como talle orientativo.</t>
        </is>
      </c>
      <c r="G10" s="7" t="inlineStr">
        <is>
          <t>Siempre (para chicos: altura del chico)</t>
        </is>
      </c>
    </row>
    <row r="11">
      <c r="A11" s="7" t="n">
        <v>10</v>
      </c>
      <c r="B11" s="7" t="inlineStr">
        <is>
          <t>Peso</t>
        </is>
      </c>
      <c r="C11" s="7" t="inlineStr">
        <is>
          <t>¿Cuánto pesás aproximadamente?</t>
        </is>
      </c>
      <c r="D11" s="7" t="inlineStr">
        <is>
          <t>Menos de 70 kg
70 a 90 kg
90 a 110 kg
Más de 110 kg</t>
        </is>
      </c>
      <c r="E11" s="7" t="inlineStr">
        <is>
          <t>Carga máx (kg)</t>
        </is>
      </c>
      <c r="F11" s="7" t="inlineStr">
        <is>
          <t>FILTRO: peso de la persona + 10 kg ≤ carga máxima. Clave en monopatines (algunos soportan solo 90 kg).</t>
        </is>
      </c>
      <c r="G11" s="7" t="inlineStr">
        <is>
          <t>Propulsión ≠ Pedal</t>
        </is>
      </c>
    </row>
    <row r="12">
      <c r="A12" s="7" t="n">
        <v>11</v>
      </c>
      <c r="B12" s="7" t="inlineStr">
        <is>
          <t>Presupuesto</t>
        </is>
      </c>
      <c r="C12" s="7" t="inlineStr">
        <is>
          <t>¿Cuánto querés invertir en total?</t>
        </is>
      </c>
      <c r="D12" s="7" t="inlineStr">
        <is>
          <t>Rangos + monto libre + 'No tengo tope'</t>
        </is>
      </c>
      <c r="E12" s="7" t="inlineStr">
        <is>
          <t>Precio (en vivo de TN)</t>
        </is>
      </c>
      <c r="F12" s="7" t="inlineStr">
        <is>
          <t>Se reserva lo mínimo de los accesorios esenciales y el resto es tope del vehículo. Hasta +10% se muestra avisando cuánto se pasa.</t>
        </is>
      </c>
      <c r="G12" s="7" t="inlineStr">
        <is>
          <t>Siempre</t>
        </is>
      </c>
    </row>
    <row r="13">
      <c r="A13" s="7" t="n">
        <v>12</v>
      </c>
      <c r="B13" s="7" t="inlineStr">
        <is>
          <t>Ya tengo</t>
        </is>
      </c>
      <c r="C13" s="7" t="inlineStr">
        <is>
          <t>¿Ya tenés alguno de estos?</t>
        </is>
      </c>
      <c r="D13" s="7" t="inlineStr">
        <is>
          <t>Casco / Candado / Luces / Inflador (según tipo de vehículo)</t>
        </is>
      </c>
      <c r="E13" s="7" t="inlineStr">
        <is>
          <t>Accesorios</t>
        </is>
      </c>
      <c r="F13" s="7" t="inlineStr">
        <is>
          <t>Lo que ya tiene no entra en el combo.</t>
        </is>
      </c>
      <c r="G13" s="7" t="inlineStr">
        <is>
          <t>Siempre</t>
        </is>
      </c>
    </row>
    <row r="14">
      <c r="A14" s="7" t="inlineStr">
        <is>
          <t>—</t>
        </is>
      </c>
      <c r="B14" s="7" t="inlineStr">
        <is>
          <t>Stock</t>
        </is>
      </c>
      <c r="C14" s="7" t="inlineStr">
        <is>
          <t>(automático)</t>
        </is>
      </c>
      <c r="D14" s="7" t="inlineStr">
        <is>
          <t>—</t>
        </is>
      </c>
      <c r="E14" s="7" t="inlineStr">
        <is>
          <t>Stock TN</t>
        </is>
      </c>
      <c r="F14" s="7" t="inlineStr">
        <is>
          <t>FILTRO final: solo productos publicados con stock en la variante que le sirve. Nada sin stock llega al cliente.</t>
        </is>
      </c>
      <c r="G14" s="7" t="inlineStr">
        <is>
          <t>Siempre</t>
        </is>
      </c>
    </row>
    <row r="15">
      <c r="A15" s="7" t="inlineStr">
        <is>
          <t>—</t>
        </is>
      </c>
      <c r="B15" s="7" t="inlineStr">
        <is>
          <t>Completá tu equipo</t>
        </is>
      </c>
      <c r="C15" s="7" t="inlineStr">
        <is>
          <t>(automático, después del combo)</t>
        </is>
      </c>
      <c r="D15" s="7" t="inlineStr">
        <is>
          <t>Kit de herramientas, cámara de repuesto, sellador, etc.</t>
        </is>
      </c>
      <c r="E15" s="7" t="inlineStr">
        <is>
          <t>Pestaña Sugerencias</t>
        </is>
      </c>
      <c r="F15" s="7" t="inlineStr">
        <is>
          <t>Productos útiles según el vehículo elegido, fuera del combo. Uno por categoría, con stock.</t>
        </is>
      </c>
      <c r="G15" s="7" t="inlineStr">
        <is>
          <t>Siempre</t>
        </is>
      </c>
    </row>
    <row r="16">
      <c r="A16" s="7" t="inlineStr">
        <is>
          <t>—</t>
        </is>
      </c>
      <c r="B16" s="7" t="inlineStr">
        <is>
          <t>También te puede interesar</t>
        </is>
      </c>
      <c r="C16" s="7" t="inlineStr">
        <is>
          <t>(automático, al final)</t>
        </is>
      </c>
      <c r="D16" s="7" t="inlineStr">
        <is>
          <t>Limpieza, lubricación, indumentaria, intercomunicadores (moto), etc.</t>
        </is>
      </c>
      <c r="E16" s="7" t="inlineStr">
        <is>
          <t>Pestaña Sugerencias</t>
        </is>
      </c>
      <c r="F16" s="7" t="inlineStr">
        <is>
          <t>Vidriera de TODO el catálogo relacionado. Rota los productos entre visitas para que cada producto de la web se muestre alguna vez.</t>
        </is>
      </c>
      <c r="G16" s="7" t="inlineStr">
        <is>
          <t>Siempre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4" customWidth="1" min="3" max="3"/>
    <col width="40" customWidth="1" min="4" max="4"/>
    <col width="18" customWidth="1" min="5" max="5"/>
  </cols>
  <sheetData>
    <row r="1" ht="34" customHeight="1">
      <c r="A1" s="6" t="inlineStr">
        <is>
          <t>Criterio (columna en Productos)</t>
        </is>
      </c>
      <c r="B1" s="6" t="inlineStr">
        <is>
          <t>Qué significa</t>
        </is>
      </c>
      <c r="C1" s="6" t="inlineStr">
        <is>
          <t>Tipo</t>
        </is>
      </c>
      <c r="D1" s="6" t="inlineStr">
        <is>
          <t>Valores</t>
        </is>
      </c>
      <c r="E1" s="6" t="inlineStr">
        <is>
          <t>Lo usa la etapa</t>
        </is>
      </c>
    </row>
    <row r="2">
      <c r="A2" s="7" t="inlineStr">
        <is>
          <t>Tipo de vehículo</t>
        </is>
      </c>
      <c r="B2" s="7" t="inlineStr">
        <is>
          <t>Familia del producto. Define qué accesorios lleva el combo y cómo se presenta.</t>
        </is>
      </c>
      <c r="C2" s="7" t="inlineStr">
        <is>
          <t>Info</t>
        </is>
      </c>
      <c r="D2" s="7" t="inlineStr">
        <is>
          <t>Ver Listas</t>
        </is>
      </c>
      <c r="E2" s="7" t="inlineStr">
        <is>
          <t>—</t>
        </is>
      </c>
    </row>
    <row r="3">
      <c r="A3" s="7" t="inlineStr">
        <is>
          <t>Propulsión</t>
        </is>
      </c>
      <c r="B3" s="7" t="inlineStr">
        <is>
          <t>Pedal = sin motor. Asistida = motor que ayuda al pedalear. Eléctrica = anda sola (acelerador).</t>
        </is>
      </c>
      <c r="C3" s="7" t="inlineStr">
        <is>
          <t>Filtro</t>
        </is>
      </c>
      <c r="D3" s="7" t="inlineStr">
        <is>
          <t>Pedal / Asistida / Asistida + acelerador / Eléctrica</t>
        </is>
      </c>
      <c r="E3" s="7" t="inlineStr">
        <is>
          <t>4</t>
        </is>
      </c>
    </row>
    <row r="4">
      <c r="A4" s="7" t="inlineStr">
        <is>
          <t>Uso: diario / paseo / deporte / llevar chicos / llevar carga / niños</t>
        </is>
      </c>
      <c r="B4" s="7" t="inlineStr">
        <is>
          <t>Marcar Sí en cada necesidad para la que se recomienda. Un producto puede tener varios usos.</t>
        </is>
      </c>
      <c r="C4" s="7" t="inlineStr">
        <is>
          <t>Filtro</t>
        </is>
      </c>
      <c r="D4" s="7" t="inlineStr">
        <is>
          <t>Sí / No</t>
        </is>
      </c>
      <c r="E4" s="7" t="inlineStr">
        <is>
          <t>1</t>
        </is>
      </c>
    </row>
    <row r="5">
      <c r="A5" s="7" t="inlineStr">
        <is>
          <t>Acepta silla de niños</t>
        </is>
      </c>
      <c r="B5" s="7" t="inlineStr">
        <is>
          <t>Si se le puede montar una silla para chicos (portapaquetes o tubo de asiento compatible). Hace que cuente para 'Llevar a los chicos' y suma la silla al combo.</t>
        </is>
      </c>
      <c r="C5" s="7" t="inlineStr">
        <is>
          <t>Filtro</t>
        </is>
      </c>
      <c r="D5" s="7" t="inlineStr">
        <is>
          <t>Sí / No / Revisar</t>
        </is>
      </c>
      <c r="E5" s="7" t="inlineStr">
        <is>
          <t>1</t>
        </is>
      </c>
    </row>
    <row r="6">
      <c r="A6" s="7" t="inlineStr">
        <is>
          <t>Neumáticos con aire</t>
        </is>
      </c>
      <c r="B6" s="7" t="inlineStr">
        <is>
          <t>Si usa cubiertas con aire (con cámara o tubeless). Define si el combo lleva inflador.</t>
        </is>
      </c>
      <c r="C6" s="7" t="inlineStr">
        <is>
          <t>Accesorios</t>
        </is>
      </c>
      <c r="D6" s="7" t="inlineStr">
        <is>
          <t>Sí / No</t>
        </is>
      </c>
      <c r="E6" s="7" t="inlineStr">
        <is>
          <t>—</t>
        </is>
      </c>
    </row>
    <row r="7">
      <c r="A7" s="7" t="inlineStr">
        <is>
          <t>Terreno apto</t>
        </is>
      </c>
      <c r="B7" s="7" t="inlineStr">
        <is>
          <t>Dónde anda bien.</t>
        </is>
      </c>
      <c r="C7" s="7" t="inlineStr">
        <is>
          <t>Filtro</t>
        </is>
      </c>
      <c r="D7" s="7" t="inlineStr">
        <is>
          <t>Asfalto / Asfalto y mixto / Mixto y tierra / Todo terreno</t>
        </is>
      </c>
      <c r="E7" s="7" t="inlineStr">
        <is>
          <t>3</t>
        </is>
      </c>
    </row>
    <row r="8">
      <c r="A8" s="7" t="inlineStr">
        <is>
          <t>Autonomía (km)</t>
        </is>
      </c>
      <c r="B8" s="7" t="inlineStr">
        <is>
          <t>Autonomía real a considerar (usar el valor de ficha).</t>
        </is>
      </c>
      <c r="C8" s="7" t="inlineStr">
        <is>
          <t>Filtro</t>
        </is>
      </c>
      <c r="D8" s="7" t="inlineStr">
        <is>
          <t>Número</t>
        </is>
      </c>
      <c r="E8" s="7" t="inlineStr">
        <is>
          <t>2</t>
        </is>
      </c>
    </row>
    <row r="9">
      <c r="A9" s="7" t="inlineStr">
        <is>
          <t>Velocidad máx (km/h)</t>
        </is>
      </c>
      <c r="B9" s="7" t="inlineStr">
        <is>
          <t>Según ficha.</t>
        </is>
      </c>
      <c r="C9" s="7" t="inlineStr">
        <is>
          <t>Filtro</t>
        </is>
      </c>
      <c r="D9" s="7" t="inlineStr">
        <is>
          <t>Número</t>
        </is>
      </c>
      <c r="E9" s="7" t="inlineStr">
        <is>
          <t>5</t>
        </is>
      </c>
    </row>
    <row r="10">
      <c r="A10" s="7" t="inlineStr">
        <is>
          <t>Requiere licencia/patente</t>
        </is>
      </c>
      <c r="B10" s="7" t="inlineStr">
        <is>
          <t>Si hace falta licencia de conducir y patentamiento.</t>
        </is>
      </c>
      <c r="C10" s="7" t="inlineStr">
        <is>
          <t>Filtro</t>
        </is>
      </c>
      <c r="D10" s="7" t="inlineStr">
        <is>
          <t>Sí / No / Revisar</t>
        </is>
      </c>
      <c r="E10" s="7" t="inlineStr">
        <is>
          <t>5</t>
        </is>
      </c>
    </row>
    <row r="11">
      <c r="A11" s="7" t="inlineStr">
        <is>
          <t>Plegable</t>
        </is>
      </c>
      <c r="B11" s="7" t="inlineStr">
        <is>
          <t>Si se pliega para guardar o subir al transporte.</t>
        </is>
      </c>
      <c r="C11" s="7" t="inlineStr">
        <is>
          <t>Filtro</t>
        </is>
      </c>
      <c r="D11" s="7" t="inlineStr">
        <is>
          <t>Sí / No / Parcial</t>
        </is>
      </c>
      <c r="E11" s="7" t="inlineStr">
        <is>
          <t>6</t>
        </is>
      </c>
    </row>
    <row r="12">
      <c r="A12" s="7" t="inlineStr">
        <is>
          <t>Peso (kg)</t>
        </is>
      </c>
      <c r="B12" s="7" t="inlineStr">
        <is>
          <t>Peso del vehículo. Clave para escaleras.</t>
        </is>
      </c>
      <c r="C12" s="7" t="inlineStr">
        <is>
          <t>Filtro</t>
        </is>
      </c>
      <c r="D12" s="7" t="inlineStr">
        <is>
          <t>Número</t>
        </is>
      </c>
      <c r="E12" s="7" t="inlineStr">
        <is>
          <t>6</t>
        </is>
      </c>
    </row>
    <row r="13">
      <c r="A13" s="7" t="inlineStr">
        <is>
          <t>Carga máx (kg)</t>
        </is>
      </c>
      <c r="B13" s="7" t="inlineStr">
        <is>
          <t>Peso máximo soportado (persona + carga).</t>
        </is>
      </c>
      <c r="C13" s="7" t="inlineStr">
        <is>
          <t>Filtro</t>
        </is>
      </c>
      <c r="D13" s="7" t="inlineStr">
        <is>
          <t>Número</t>
        </is>
      </c>
      <c r="E13" s="7" t="inlineStr">
        <is>
          <t>10</t>
        </is>
      </c>
    </row>
    <row r="14">
      <c r="A14" s="7" t="inlineStr">
        <is>
          <t>Altura (solapa 'Altura por modelo')</t>
        </is>
      </c>
      <c r="B14" s="7" t="inlineStr">
        <is>
          <t>Rango de altura del usuario por talle. Las bicis de talle único tienen una fila 'Único'. La altura vive SOLO en esa solapa.</t>
        </is>
      </c>
      <c r="C14" s="7" t="inlineStr">
        <is>
          <t>Filtro</t>
        </is>
      </c>
      <c r="D14" s="7" t="inlineStr">
        <is>
          <t>Número</t>
        </is>
      </c>
      <c r="E14" s="7" t="inlineStr">
        <is>
          <t>9</t>
        </is>
      </c>
    </row>
    <row r="15">
      <c r="A15" s="7" t="inlineStr">
        <is>
          <t>Talles por variante</t>
        </is>
      </c>
      <c r="B15" s="7" t="inlineStr">
        <is>
          <t>Sí = el talle está en las variantes de TN y se usa la pestaña Talles.</t>
        </is>
      </c>
      <c r="C15" s="7" t="inlineStr">
        <is>
          <t>Filtro</t>
        </is>
      </c>
      <c r="D15" s="7" t="inlineStr">
        <is>
          <t>Sí / No</t>
        </is>
      </c>
      <c r="E15" s="7" t="inlineStr">
        <is>
          <t>9</t>
        </is>
      </c>
    </row>
    <row r="16">
      <c r="A16" s="7" t="inlineStr">
        <is>
          <t>Subida máx (%)</t>
        </is>
      </c>
      <c r="B16" s="7" t="inlineStr">
        <is>
          <t>Pendiente máxima (monopatines y motos).</t>
        </is>
      </c>
      <c r="C16" s="7" t="inlineStr">
        <is>
          <t>Puntaje</t>
        </is>
      </c>
      <c r="D16" s="7" t="inlineStr">
        <is>
          <t>Número</t>
        </is>
      </c>
      <c r="E16" s="7" t="inlineStr">
        <is>
          <t>3</t>
        </is>
      </c>
    </row>
    <row r="17">
      <c r="A17" s="7" t="inlineStr">
        <is>
          <t>Nivel</t>
        </is>
      </c>
      <c r="B17" s="7" t="inlineStr">
        <is>
          <t>Posicionamiento: ayuda a ordenar dentro del presupuesto.</t>
        </is>
      </c>
      <c r="C17" s="7" t="inlineStr">
        <is>
          <t>Puntaje</t>
        </is>
      </c>
      <c r="D17" s="7" t="inlineStr">
        <is>
          <t>Entrada / Medio / Alto</t>
        </is>
      </c>
      <c r="E17" s="7" t="inlineStr">
        <is>
          <t>11</t>
        </is>
      </c>
    </row>
    <row r="18">
      <c r="A18" s="7" t="inlineStr">
        <is>
          <t>Prioridad</t>
        </is>
      </c>
      <c r="B18" s="7" t="inlineStr">
        <is>
          <t>Empujón comercial para desempatar (0 = neutro, 3 = máximo).</t>
        </is>
      </c>
      <c r="C18" s="7" t="inlineStr">
        <is>
          <t>Puntaje</t>
        </is>
      </c>
      <c r="D18" s="7" t="inlineStr">
        <is>
          <t>0 a 3</t>
        </is>
      </c>
      <c r="E18" s="7" t="inlineStr">
        <is>
          <t>—</t>
        </is>
      </c>
    </row>
    <row r="19">
      <c r="A19" s="7" t="inlineStr">
        <is>
          <t>Activo en asesor</t>
        </is>
      </c>
      <c r="B19" s="7" t="inlineStr">
        <is>
          <t>No = nunca se recomienda (usados, repuestos, productos que no queremos empujar).</t>
        </is>
      </c>
      <c r="C19" s="7" t="inlineStr">
        <is>
          <t>Filtro</t>
        </is>
      </c>
      <c r="D19" s="7" t="inlineStr">
        <is>
          <t>Sí / No</t>
        </is>
      </c>
      <c r="E19" s="7" t="inlineStr">
        <is>
          <t>—</t>
        </is>
      </c>
    </row>
    <row r="20">
      <c r="A20" s="7" t="inlineStr">
        <is>
          <t>Argumento de venta</t>
        </is>
      </c>
      <c r="B20" s="7" t="inlineStr">
        <is>
          <t>Frase corta que el asesor muestra en '¿Por qué te lo recomendamos?'. Si está vacía, se arma sola.</t>
        </is>
      </c>
      <c r="C20" s="7" t="inlineStr">
        <is>
          <t>Texto</t>
        </is>
      </c>
      <c r="D20" s="7" t="inlineStr">
        <is>
          <t>Texto libre</t>
        </is>
      </c>
      <c r="E20" s="7"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129"/>
  <sheetViews>
    <sheetView workbookViewId="0">
      <pane xSplit="4" ySplit="1" topLeftCell="E2" activePane="bottomRight" state="frozen"/>
      <selection pane="topRight"/>
      <selection pane="bottomLeft"/>
      <selection pane="bottomRight"/>
      <selection pane="bottomLeft"/>
      <selection pane="bottomRight" activeCell="A1" sqref="A1"/>
    </sheetView>
  </sheetViews>
  <sheetFormatPr baseColWidth="8" defaultRowHeight="15"/>
  <cols>
    <col width="13" customWidth="1" min="1" max="1"/>
    <col width="30" customWidth="1" min="2" max="2"/>
    <col width="10" customWidth="1" min="3" max="3"/>
    <col width="34" customWidth="1" min="4" max="4"/>
    <col width="20" customWidth="1" min="5" max="5"/>
    <col width="20" customWidth="1" min="6" max="6"/>
    <col width="18" customWidth="1" min="7" max="7"/>
    <col width="9" customWidth="1" min="8" max="8"/>
    <col width="9" customWidth="1" min="9" max="9"/>
    <col width="11" customWidth="1" min="10" max="10"/>
    <col width="11" customWidth="1" min="11" max="11"/>
    <col width="11" customWidth="1" min="12" max="12"/>
    <col width="9" customWidth="1" min="13" max="13"/>
    <col width="11" customWidth="1" min="14" max="14"/>
    <col width="11" customWidth="1" min="15" max="15"/>
    <col width="18" customWidth="1" min="16" max="16"/>
    <col width="11" customWidth="1" min="17" max="17"/>
    <col width="11" customWidth="1" min="18" max="18"/>
    <col width="12" customWidth="1" min="19" max="19"/>
    <col width="10" customWidth="1" min="20" max="20"/>
    <col width="9" customWidth="1" min="21" max="21"/>
    <col width="10" customWidth="1" min="22" max="22"/>
    <col width="10" customWidth="1" min="23" max="23"/>
    <col width="10" customWidth="1" min="24" max="24"/>
    <col width="10" customWidth="1" min="25" max="25"/>
    <col width="9" customWidth="1" min="26" max="26"/>
    <col width="10" customWidth="1" min="27" max="27"/>
    <col width="40" customWidth="1" min="28" max="28"/>
    <col width="44" customWidth="1" min="29" max="29"/>
  </cols>
  <sheetData>
    <row r="1" ht="34" customHeight="1">
      <c r="A1" s="6" t="inlineStr">
        <is>
          <t>ID Tiendanube</t>
        </is>
      </c>
      <c r="B1" s="6" t="inlineStr">
        <is>
          <t>Nombre</t>
        </is>
      </c>
      <c r="C1" s="6" t="inlineStr">
        <is>
          <t>¿Se ofrece?</t>
        </is>
      </c>
      <c r="D1" s="6" t="inlineStr">
        <is>
          <t>Qué falta</t>
        </is>
      </c>
      <c r="E1" s="6" t="inlineStr">
        <is>
          <t>Categoría en TN</t>
        </is>
      </c>
      <c r="F1" s="6" t="inlineStr">
        <is>
          <t>Tipo de vehículo</t>
        </is>
      </c>
      <c r="G1" s="6" t="inlineStr">
        <is>
          <t>Propulsión</t>
        </is>
      </c>
      <c r="H1" s="6" t="inlineStr">
        <is>
          <t>Uso: diario</t>
        </is>
      </c>
      <c r="I1" s="6" t="inlineStr">
        <is>
          <t>Uso: paseo</t>
        </is>
      </c>
      <c r="J1" s="6" t="inlineStr">
        <is>
          <t>Uso: deporte / naturaleza</t>
        </is>
      </c>
      <c r="K1" s="6" t="inlineStr">
        <is>
          <t>Uso: llevar chicos</t>
        </is>
      </c>
      <c r="L1" s="6" t="inlineStr">
        <is>
          <t>Uso: llevar carga</t>
        </is>
      </c>
      <c r="M1" s="6" t="inlineStr">
        <is>
          <t>Uso: niños</t>
        </is>
      </c>
      <c r="N1" s="6" t="inlineStr">
        <is>
          <t>Acepta silla de niños</t>
        </is>
      </c>
      <c r="O1" s="6" t="inlineStr">
        <is>
          <t>Neumáticos con aire</t>
        </is>
      </c>
      <c r="P1" s="6" t="inlineStr">
        <is>
          <t>Terreno apto</t>
        </is>
      </c>
      <c r="Q1" s="6" t="inlineStr">
        <is>
          <t>Autonomía (km)</t>
        </is>
      </c>
      <c r="R1" s="6" t="inlineStr">
        <is>
          <t>Velocidad máx (km/h)</t>
        </is>
      </c>
      <c r="S1" s="6" t="inlineStr">
        <is>
          <t>Requiere licencia/patente</t>
        </is>
      </c>
      <c r="T1" s="6" t="inlineStr">
        <is>
          <t>Plegable</t>
        </is>
      </c>
      <c r="U1" s="6" t="inlineStr">
        <is>
          <t>Peso (kg)</t>
        </is>
      </c>
      <c r="V1" s="6" t="inlineStr">
        <is>
          <t>Carga máx (kg)</t>
        </is>
      </c>
      <c r="W1" s="6" t="inlineStr">
        <is>
          <t>Talles por variante</t>
        </is>
      </c>
      <c r="X1" s="6" t="inlineStr">
        <is>
          <t>Subida máx (%)</t>
        </is>
      </c>
      <c r="Y1" s="6" t="inlineStr">
        <is>
          <t>Nivel</t>
        </is>
      </c>
      <c r="Z1" s="6" t="inlineStr">
        <is>
          <t>Prioridad</t>
        </is>
      </c>
      <c r="AA1" s="6" t="inlineStr">
        <is>
          <t>Activo en asesor</t>
        </is>
      </c>
      <c r="AB1" s="6" t="inlineStr">
        <is>
          <t>Argumento de venta</t>
        </is>
      </c>
      <c r="AC1" s="6" t="inlineStr">
        <is>
          <t>Notas / revisar</t>
        </is>
      </c>
    </row>
    <row r="2">
      <c r="A2" t="n">
        <v>282264187</v>
      </c>
      <c r="B2" t="inlineStr">
        <is>
          <t>Max G3</t>
        </is>
      </c>
      <c r="C2" s="8">
        <f>IF(LEN(D2)=0,"SÍ","NO")</f>
        <v/>
      </c>
      <c r="D2" s="7">
        <f>IF(F2="","tipo; ","")&amp;IF(G2="","propulsión; ","")&amp;IF(COUNTIF(H2:M2,"Sí")=0,"uso; ","")&amp;IF(OR(N2="",N2="Revisar"),"silla de niños; ","")&amp;IF(O2="","neumáticos; ","")&amp;IF(P2="","terreno; ","")&amp;IF(AND(G2&lt;&gt;"Pedal",Q2=""),"autonomía; ","")&amp;IF(AND(G2&lt;&gt;"Pedal",R2=""),"velocidad; ","")&amp;IF(OR(S2="",S2="Revisar"),"licencia; ","")&amp;IF(T2="","plegable; ","")&amp;IF(U2="","peso; ","")&amp;IF(AND(G2&lt;&gt;"Pedal",V2=""),"carga máx; ","")&amp;IF(AND(ISNUMBER(SEARCH("Bici",F2)),COUNTIF('Altura por modelo'!$A$2:$A$2000,A2)=0),"altura; ","")&amp;IF(COUNTIFS('Altura por modelo'!$A$2:$A$2000,A2,'Altura por modelo'!$E$2:$E$2000,"")+COUNTIFS('Altura por modelo'!$A$2:$A$2000,A2,'Altura por modelo'!$F$2:$F$2000,"")&gt;0,"altura por talle; ","")&amp;IF(AA2&lt;&gt;"Sí","desactivado; ","")</f>
        <v/>
      </c>
      <c r="E2" t="inlineStr">
        <is>
          <t>Monopatines</t>
        </is>
      </c>
      <c r="F2" t="inlineStr">
        <is>
          <t>Monopatín eléctrico</t>
        </is>
      </c>
      <c r="G2" t="inlineStr">
        <is>
          <t>Eléctrica</t>
        </is>
      </c>
      <c r="H2" t="inlineStr">
        <is>
          <t>Sí</t>
        </is>
      </c>
      <c r="I2" t="inlineStr">
        <is>
          <t>Sí</t>
        </is>
      </c>
      <c r="J2" t="inlineStr">
        <is>
          <t>No</t>
        </is>
      </c>
      <c r="K2" t="inlineStr">
        <is>
          <t>No</t>
        </is>
      </c>
      <c r="L2" t="inlineStr">
        <is>
          <t>No</t>
        </is>
      </c>
      <c r="M2" t="inlineStr">
        <is>
          <t>No</t>
        </is>
      </c>
      <c r="N2" t="inlineStr">
        <is>
          <t>No</t>
        </is>
      </c>
      <c r="O2" t="inlineStr">
        <is>
          <t>Sí</t>
        </is>
      </c>
      <c r="P2" t="inlineStr">
        <is>
          <t>Asfalto</t>
        </is>
      </c>
      <c r="Q2" s="9" t="n">
        <v>80</v>
      </c>
      <c r="R2" s="9" t="n">
        <v>45</v>
      </c>
      <c r="S2" t="inlineStr">
        <is>
          <t>No</t>
        </is>
      </c>
      <c r="T2" s="9" t="inlineStr">
        <is>
          <t>Sí</t>
        </is>
      </c>
      <c r="U2" s="9" t="n">
        <v>24.6</v>
      </c>
      <c r="V2" s="9" t="n">
        <v>130</v>
      </c>
      <c r="W2" t="inlineStr">
        <is>
          <t>No</t>
        </is>
      </c>
      <c r="X2" s="9" t="n">
        <v>30</v>
      </c>
      <c r="Y2" t="inlineStr">
        <is>
          <t>Alto</t>
        </is>
      </c>
      <c r="Z2" t="n">
        <v>0</v>
      </c>
      <c r="AA2" t="inlineStr">
        <is>
          <t>Sí</t>
        </is>
      </c>
      <c r="AB2" s="7" t="inlineStr">
        <is>
          <t>80 km de autonomía y doble suspensión hidráulica: el más completo para ir lejos todos los días.</t>
        </is>
      </c>
      <c r="AC2" s="7" t="inlineStr">
        <is>
          <t>Velocidad máx 45 km/h: revisar normativa local de monopatines.</t>
        </is>
      </c>
    </row>
    <row r="3">
      <c r="A3" t="n">
        <v>282311179</v>
      </c>
      <c r="B3" t="inlineStr">
        <is>
          <t>GT3</t>
        </is>
      </c>
      <c r="C3" s="8">
        <f>IF(LEN(D3)=0,"SÍ","NO")</f>
        <v/>
      </c>
      <c r="D3" s="7">
        <f>IF(F3="","tipo; ","")&amp;IF(G3="","propulsión; ","")&amp;IF(COUNTIF(H3:M3,"Sí")=0,"uso; ","")&amp;IF(OR(N3="",N3="Revisar"),"silla de niños; ","")&amp;IF(O3="","neumáticos; ","")&amp;IF(P3="","terreno; ","")&amp;IF(AND(G3&lt;&gt;"Pedal",Q3=""),"autonomía; ","")&amp;IF(AND(G3&lt;&gt;"Pedal",R3=""),"velocidad; ","")&amp;IF(OR(S3="",S3="Revisar"),"licencia; ","")&amp;IF(T3="","plegable; ","")&amp;IF(U3="","peso; ","")&amp;IF(AND(G3&lt;&gt;"Pedal",V3=""),"carga máx; ","")&amp;IF(AND(ISNUMBER(SEARCH("Bici",F3)),COUNTIF('Altura por modelo'!$A$2:$A$2000,A3)=0),"altura; ","")&amp;IF(COUNTIFS('Altura por modelo'!$A$2:$A$2000,A3,'Altura por modelo'!$E$2:$E$2000,"")+COUNTIFS('Altura por modelo'!$A$2:$A$2000,A3,'Altura por modelo'!$F$2:$F$2000,"")&gt;0,"altura por talle; ","")&amp;IF(AA3&lt;&gt;"Sí","desactivado; ","")</f>
        <v/>
      </c>
      <c r="E3" t="inlineStr">
        <is>
          <t>Monopatines</t>
        </is>
      </c>
      <c r="F3" t="inlineStr">
        <is>
          <t>Monopatín eléctrico</t>
        </is>
      </c>
      <c r="G3" t="inlineStr">
        <is>
          <t>Eléctrica</t>
        </is>
      </c>
      <c r="H3" t="inlineStr">
        <is>
          <t>Sí</t>
        </is>
      </c>
      <c r="I3" t="inlineStr">
        <is>
          <t>Sí</t>
        </is>
      </c>
      <c r="J3" t="inlineStr">
        <is>
          <t>No</t>
        </is>
      </c>
      <c r="K3" t="inlineStr">
        <is>
          <t>No</t>
        </is>
      </c>
      <c r="L3" t="inlineStr">
        <is>
          <t>No</t>
        </is>
      </c>
      <c r="M3" t="inlineStr">
        <is>
          <t>No</t>
        </is>
      </c>
      <c r="N3" t="inlineStr">
        <is>
          <t>No</t>
        </is>
      </c>
      <c r="O3" t="inlineStr">
        <is>
          <t>Sí</t>
        </is>
      </c>
      <c r="P3" t="inlineStr">
        <is>
          <t>Asfalto</t>
        </is>
      </c>
      <c r="Q3" s="9" t="n">
        <v>95</v>
      </c>
      <c r="R3" s="9" t="n">
        <v>50</v>
      </c>
      <c r="S3" t="inlineStr">
        <is>
          <t>No</t>
        </is>
      </c>
      <c r="T3" s="9" t="inlineStr">
        <is>
          <t>Sí</t>
        </is>
      </c>
      <c r="U3" s="9" t="n">
        <v>39.5</v>
      </c>
      <c r="V3" s="9" t="n">
        <v>150</v>
      </c>
      <c r="W3" t="inlineStr">
        <is>
          <t>No</t>
        </is>
      </c>
      <c r="X3" s="9" t="n">
        <v>30</v>
      </c>
      <c r="Y3" t="inlineStr">
        <is>
          <t>Alto</t>
        </is>
      </c>
      <c r="Z3" t="n">
        <v>0</v>
      </c>
      <c r="AA3" t="inlineStr">
        <is>
          <t>Sí</t>
        </is>
      </c>
      <c r="AB3" s="7" t="inlineStr"/>
      <c r="AC3" s="7" t="inlineStr">
        <is>
          <t>39,5 kg: no apto para subir escaleras. Velocidad 50 km/h: revisar normativa.</t>
        </is>
      </c>
    </row>
    <row r="4">
      <c r="A4" t="n">
        <v>297070699</v>
      </c>
      <c r="B4" t="inlineStr">
        <is>
          <t>E2 PLUS E II</t>
        </is>
      </c>
      <c r="C4" s="8">
        <f>IF(LEN(D4)=0,"SÍ","NO")</f>
        <v/>
      </c>
      <c r="D4" s="7">
        <f>IF(F4="","tipo; ","")&amp;IF(G4="","propulsión; ","")&amp;IF(COUNTIF(H4:M4,"Sí")=0,"uso; ","")&amp;IF(OR(N4="",N4="Revisar"),"silla de niños; ","")&amp;IF(O4="","neumáticos; ","")&amp;IF(P4="","terreno; ","")&amp;IF(AND(G4&lt;&gt;"Pedal",Q4=""),"autonomía; ","")&amp;IF(AND(G4&lt;&gt;"Pedal",R4=""),"velocidad; ","")&amp;IF(OR(S4="",S4="Revisar"),"licencia; ","")&amp;IF(T4="","plegable; ","")&amp;IF(U4="","peso; ","")&amp;IF(AND(G4&lt;&gt;"Pedal",V4=""),"carga máx; ","")&amp;IF(AND(ISNUMBER(SEARCH("Bici",F4)),COUNTIF('Altura por modelo'!$A$2:$A$2000,A4)=0),"altura; ","")&amp;IF(COUNTIFS('Altura por modelo'!$A$2:$A$2000,A4,'Altura por modelo'!$E$2:$E$2000,"")+COUNTIFS('Altura por modelo'!$A$2:$A$2000,A4,'Altura por modelo'!$F$2:$F$2000,"")&gt;0,"altura por talle; ","")&amp;IF(AA4&lt;&gt;"Sí","desactivado; ","")</f>
        <v/>
      </c>
      <c r="E4" t="inlineStr">
        <is>
          <t>Monopatines</t>
        </is>
      </c>
      <c r="F4" t="inlineStr">
        <is>
          <t>Monopatín eléctrico</t>
        </is>
      </c>
      <c r="G4" t="inlineStr">
        <is>
          <t>Eléctrica</t>
        </is>
      </c>
      <c r="H4" t="inlineStr">
        <is>
          <t>Sí</t>
        </is>
      </c>
      <c r="I4" t="inlineStr">
        <is>
          <t>No</t>
        </is>
      </c>
      <c r="J4" t="inlineStr">
        <is>
          <t>No</t>
        </is>
      </c>
      <c r="K4" t="inlineStr">
        <is>
          <t>No</t>
        </is>
      </c>
      <c r="L4" t="inlineStr">
        <is>
          <t>No</t>
        </is>
      </c>
      <c r="M4" t="inlineStr">
        <is>
          <t>No</t>
        </is>
      </c>
      <c r="N4" t="inlineStr">
        <is>
          <t>No</t>
        </is>
      </c>
      <c r="O4" t="inlineStr">
        <is>
          <t>No</t>
        </is>
      </c>
      <c r="P4" t="inlineStr">
        <is>
          <t>Asfalto</t>
        </is>
      </c>
      <c r="Q4" s="9" t="n">
        <v>25</v>
      </c>
      <c r="R4" s="9" t="n">
        <v>25</v>
      </c>
      <c r="S4" t="inlineStr">
        <is>
          <t>No</t>
        </is>
      </c>
      <c r="T4" s="9" t="inlineStr">
        <is>
          <t>Sí</t>
        </is>
      </c>
      <c r="U4" s="9" t="n">
        <v>15</v>
      </c>
      <c r="V4" s="9" t="n">
        <v>90</v>
      </c>
      <c r="W4" t="inlineStr">
        <is>
          <t>No</t>
        </is>
      </c>
      <c r="X4" s="9" t="n">
        <v>12</v>
      </c>
      <c r="Y4" t="inlineStr">
        <is>
          <t>Entrada</t>
        </is>
      </c>
      <c r="Z4" t="n">
        <v>0</v>
      </c>
      <c r="AA4" t="inlineStr">
        <is>
          <t>Sí</t>
        </is>
      </c>
      <c r="AB4" s="7" t="inlineStr">
        <is>
          <t>Liviano (15 kg) y simple: ideal para trayectos cortos y para subirlo a casa.</t>
        </is>
      </c>
      <c r="AC4" s="7" t="inlineStr">
        <is>
          <t>Carga máx 90 kg y subida 12%: solo llano.</t>
        </is>
      </c>
    </row>
    <row r="5">
      <c r="A5" t="n">
        <v>312062393</v>
      </c>
      <c r="B5" t="inlineStr">
        <is>
          <t>X30</t>
        </is>
      </c>
      <c r="C5" s="8">
        <f>IF(LEN(D5)=0,"SÍ","NO")</f>
        <v/>
      </c>
      <c r="D5" s="7">
        <f>IF(F5="","tipo; ","")&amp;IF(G5="","propulsión; ","")&amp;IF(COUNTIF(H5:M5,"Sí")=0,"uso; ","")&amp;IF(OR(N5="",N5="Revisar"),"silla de niños; ","")&amp;IF(O5="","neumáticos; ","")&amp;IF(P5="","terreno; ","")&amp;IF(AND(G5&lt;&gt;"Pedal",Q5=""),"autonomía; ","")&amp;IF(AND(G5&lt;&gt;"Pedal",R5=""),"velocidad; ","")&amp;IF(OR(S5="",S5="Revisar"),"licencia; ","")&amp;IF(T5="","plegable; ","")&amp;IF(U5="","peso; ","")&amp;IF(AND(G5&lt;&gt;"Pedal",V5=""),"carga máx; ","")&amp;IF(AND(ISNUMBER(SEARCH("Bici",F5)),COUNTIF('Altura por modelo'!$A$2:$A$2000,A5)=0),"altura; ","")&amp;IF(COUNTIFS('Altura por modelo'!$A$2:$A$2000,A5,'Altura por modelo'!$E$2:$E$2000,"")+COUNTIFS('Altura por modelo'!$A$2:$A$2000,A5,'Altura por modelo'!$F$2:$F$2000,"")&gt;0,"altura por talle; ","")&amp;IF(AA5&lt;&gt;"Sí","desactivado; ","")</f>
        <v/>
      </c>
      <c r="E5" t="inlineStr">
        <is>
          <t>Monopatines</t>
        </is>
      </c>
      <c r="F5" t="inlineStr">
        <is>
          <t>Monopatín eléctrico</t>
        </is>
      </c>
      <c r="G5" t="inlineStr">
        <is>
          <t>Eléctrica</t>
        </is>
      </c>
      <c r="H5" t="inlineStr">
        <is>
          <t>Sí</t>
        </is>
      </c>
      <c r="I5" t="inlineStr">
        <is>
          <t>No</t>
        </is>
      </c>
      <c r="J5" t="inlineStr">
        <is>
          <t>No</t>
        </is>
      </c>
      <c r="K5" t="inlineStr">
        <is>
          <t>No</t>
        </is>
      </c>
      <c r="L5" t="inlineStr">
        <is>
          <t>No</t>
        </is>
      </c>
      <c r="M5" t="inlineStr">
        <is>
          <t>No</t>
        </is>
      </c>
      <c r="N5" t="inlineStr">
        <is>
          <t>No</t>
        </is>
      </c>
      <c r="O5" t="inlineStr">
        <is>
          <t>No</t>
        </is>
      </c>
      <c r="P5" t="inlineStr">
        <is>
          <t>Asfalto</t>
        </is>
      </c>
      <c r="Q5" s="9" t="n">
        <v>50</v>
      </c>
      <c r="R5" s="9" t="n">
        <v>25</v>
      </c>
      <c r="S5" t="inlineStr">
        <is>
          <t>No</t>
        </is>
      </c>
      <c r="T5" s="10" t="inlineStr">
        <is>
          <t>Sí</t>
        </is>
      </c>
      <c r="U5" s="9" t="n">
        <v>20</v>
      </c>
      <c r="V5" s="9" t="n">
        <v>120</v>
      </c>
      <c r="W5" t="inlineStr">
        <is>
          <t>No</t>
        </is>
      </c>
      <c r="Y5" t="inlineStr">
        <is>
          <t>Medio</t>
        </is>
      </c>
      <c r="Z5" t="n">
        <v>0</v>
      </c>
      <c r="AA5" t="inlineStr">
        <is>
          <t>Sí</t>
        </is>
      </c>
      <c r="AB5" s="7" t="inlineStr"/>
      <c r="AC5" s="7" t="inlineStr">
        <is>
          <t>Micro. Confirmar que es plegable.</t>
        </is>
      </c>
    </row>
    <row r="6">
      <c r="A6" t="n">
        <v>363243370</v>
      </c>
      <c r="B6" t="inlineStr">
        <is>
          <t>F3 Pro</t>
        </is>
      </c>
      <c r="C6" s="8">
        <f>IF(LEN(D6)=0,"SÍ","NO")</f>
        <v/>
      </c>
      <c r="D6" s="7">
        <f>IF(F6="","tipo; ","")&amp;IF(G6="","propulsión; ","")&amp;IF(COUNTIF(H6:M6,"Sí")=0,"uso; ","")&amp;IF(OR(N6="",N6="Revisar"),"silla de niños; ","")&amp;IF(O6="","neumáticos; ","")&amp;IF(P6="","terreno; ","")&amp;IF(AND(G6&lt;&gt;"Pedal",Q6=""),"autonomía; ","")&amp;IF(AND(G6&lt;&gt;"Pedal",R6=""),"velocidad; ","")&amp;IF(OR(S6="",S6="Revisar"),"licencia; ","")&amp;IF(T6="","plegable; ","")&amp;IF(U6="","peso; ","")&amp;IF(AND(G6&lt;&gt;"Pedal",V6=""),"carga máx; ","")&amp;IF(AND(ISNUMBER(SEARCH("Bici",F6)),COUNTIF('Altura por modelo'!$A$2:$A$2000,A6)=0),"altura; ","")&amp;IF(COUNTIFS('Altura por modelo'!$A$2:$A$2000,A6,'Altura por modelo'!$E$2:$E$2000,"")+COUNTIFS('Altura por modelo'!$A$2:$A$2000,A6,'Altura por modelo'!$F$2:$F$2000,"")&gt;0,"altura por talle; ","")&amp;IF(AA6&lt;&gt;"Sí","desactivado; ","")</f>
        <v/>
      </c>
      <c r="E6" t="inlineStr">
        <is>
          <t>Monopatines</t>
        </is>
      </c>
      <c r="F6" t="inlineStr">
        <is>
          <t>Monopatín eléctrico</t>
        </is>
      </c>
      <c r="G6" t="inlineStr">
        <is>
          <t>Eléctrica</t>
        </is>
      </c>
      <c r="H6" t="inlineStr">
        <is>
          <t>Sí</t>
        </is>
      </c>
      <c r="I6" t="inlineStr">
        <is>
          <t>No</t>
        </is>
      </c>
      <c r="J6" t="inlineStr">
        <is>
          <t>No</t>
        </is>
      </c>
      <c r="K6" t="inlineStr">
        <is>
          <t>No</t>
        </is>
      </c>
      <c r="L6" t="inlineStr">
        <is>
          <t>No</t>
        </is>
      </c>
      <c r="M6" t="inlineStr">
        <is>
          <t>No</t>
        </is>
      </c>
      <c r="N6" t="inlineStr">
        <is>
          <t>No</t>
        </is>
      </c>
      <c r="O6" t="inlineStr">
        <is>
          <t>Sí</t>
        </is>
      </c>
      <c r="P6" t="inlineStr">
        <is>
          <t>Asfalto</t>
        </is>
      </c>
      <c r="Q6" s="9" t="n">
        <v>70</v>
      </c>
      <c r="R6" s="9" t="n">
        <v>32</v>
      </c>
      <c r="S6" t="inlineStr">
        <is>
          <t>No</t>
        </is>
      </c>
      <c r="T6" s="9" t="inlineStr">
        <is>
          <t>Sí</t>
        </is>
      </c>
      <c r="U6" s="9" t="n">
        <v>19.3</v>
      </c>
      <c r="V6" s="9" t="n">
        <v>120</v>
      </c>
      <c r="W6" t="inlineStr">
        <is>
          <t>No</t>
        </is>
      </c>
      <c r="X6" s="9" t="n">
        <v>24</v>
      </c>
      <c r="Y6" t="inlineStr">
        <is>
          <t>Medio</t>
        </is>
      </c>
      <c r="Z6" t="n">
        <v>0</v>
      </c>
      <c r="AA6" t="inlineStr">
        <is>
          <t>Sí</t>
        </is>
      </c>
      <c r="AB6" s="7" t="inlineStr"/>
      <c r="AC6" s="7" t="inlineStr"/>
    </row>
    <row r="7">
      <c r="A7" t="n">
        <v>260345249</v>
      </c>
      <c r="B7" t="inlineStr">
        <is>
          <t>TC Max</t>
        </is>
      </c>
      <c r="C7" s="8">
        <f>IF(LEN(D7)=0,"SÍ","NO")</f>
        <v/>
      </c>
      <c r="D7" s="7">
        <f>IF(F7="","tipo; ","")&amp;IF(G7="","propulsión; ","")&amp;IF(COUNTIF(H7:M7,"Sí")=0,"uso; ","")&amp;IF(OR(N7="",N7="Revisar"),"silla de niños; ","")&amp;IF(O7="","neumáticos; ","")&amp;IF(P7="","terreno; ","")&amp;IF(AND(G7&lt;&gt;"Pedal",Q7=""),"autonomía; ","")&amp;IF(AND(G7&lt;&gt;"Pedal",R7=""),"velocidad; ","")&amp;IF(OR(S7="",S7="Revisar"),"licencia; ","")&amp;IF(T7="","plegable; ","")&amp;IF(U7="","peso; ","")&amp;IF(AND(G7&lt;&gt;"Pedal",V7=""),"carga máx; ","")&amp;IF(AND(ISNUMBER(SEARCH("Bici",F7)),COUNTIF('Altura por modelo'!$A$2:$A$2000,A7)=0),"altura; ","")&amp;IF(COUNTIFS('Altura por modelo'!$A$2:$A$2000,A7,'Altura por modelo'!$E$2:$E$2000,"")+COUNTIFS('Altura por modelo'!$A$2:$A$2000,A7,'Altura por modelo'!$F$2:$F$2000,"")&gt;0,"altura por talle; ","")&amp;IF(AA7&lt;&gt;"Sí","desactivado; ","")</f>
        <v/>
      </c>
      <c r="E7" t="inlineStr">
        <is>
          <t>Motos eléctricas</t>
        </is>
      </c>
      <c r="F7" t="inlineStr">
        <is>
          <t>Moto eléctrica</t>
        </is>
      </c>
      <c r="G7" t="inlineStr">
        <is>
          <t>Eléctrica</t>
        </is>
      </c>
      <c r="H7" t="inlineStr">
        <is>
          <t>Sí</t>
        </is>
      </c>
      <c r="I7" t="inlineStr">
        <is>
          <t>Sí</t>
        </is>
      </c>
      <c r="J7" t="inlineStr">
        <is>
          <t>No</t>
        </is>
      </c>
      <c r="K7" t="inlineStr">
        <is>
          <t>No</t>
        </is>
      </c>
      <c r="L7" t="inlineStr">
        <is>
          <t>No</t>
        </is>
      </c>
      <c r="M7" t="inlineStr">
        <is>
          <t>No</t>
        </is>
      </c>
      <c r="N7" t="inlineStr">
        <is>
          <t>No</t>
        </is>
      </c>
      <c r="O7" t="inlineStr">
        <is>
          <t>Sí</t>
        </is>
      </c>
      <c r="P7" t="inlineStr">
        <is>
          <t>Asfalto</t>
        </is>
      </c>
      <c r="Q7" s="9" t="n">
        <v>110</v>
      </c>
      <c r="R7" s="9" t="n">
        <v>100</v>
      </c>
      <c r="S7" s="9" t="inlineStr">
        <is>
          <t>Sí</t>
        </is>
      </c>
      <c r="T7" t="inlineStr">
        <is>
          <t>No</t>
        </is>
      </c>
      <c r="U7" s="9" t="n">
        <v>105</v>
      </c>
      <c r="V7" s="9" t="n">
        <v>150</v>
      </c>
      <c r="W7" t="inlineStr">
        <is>
          <t>No</t>
        </is>
      </c>
      <c r="Y7" t="inlineStr">
        <is>
          <t>Alto</t>
        </is>
      </c>
      <c r="Z7" t="n">
        <v>0</v>
      </c>
      <c r="AA7" t="inlineStr">
        <is>
          <t>Sí</t>
        </is>
      </c>
      <c r="AB7" s="7" t="inlineStr"/>
      <c r="AC7" s="7" t="inlineStr">
        <is>
          <t>Altura de asiento 77 cm. Envío a cotizar.</t>
        </is>
      </c>
    </row>
    <row r="8">
      <c r="A8" t="n">
        <v>260346171</v>
      </c>
      <c r="B8" t="inlineStr">
        <is>
          <t>CUx</t>
        </is>
      </c>
      <c r="C8" s="8">
        <f>IF(LEN(D8)=0,"SÍ","NO")</f>
        <v/>
      </c>
      <c r="D8" s="7">
        <f>IF(F8="","tipo; ","")&amp;IF(G8="","propulsión; ","")&amp;IF(COUNTIF(H8:M8,"Sí")=0,"uso; ","")&amp;IF(OR(N8="",N8="Revisar"),"silla de niños; ","")&amp;IF(O8="","neumáticos; ","")&amp;IF(P8="","terreno; ","")&amp;IF(AND(G8&lt;&gt;"Pedal",Q8=""),"autonomía; ","")&amp;IF(AND(G8&lt;&gt;"Pedal",R8=""),"velocidad; ","")&amp;IF(OR(S8="",S8="Revisar"),"licencia; ","")&amp;IF(T8="","plegable; ","")&amp;IF(U8="","peso; ","")&amp;IF(AND(G8&lt;&gt;"Pedal",V8=""),"carga máx; ","")&amp;IF(AND(ISNUMBER(SEARCH("Bici",F8)),COUNTIF('Altura por modelo'!$A$2:$A$2000,A8)=0),"altura; ","")&amp;IF(COUNTIFS('Altura por modelo'!$A$2:$A$2000,A8,'Altura por modelo'!$E$2:$E$2000,"")+COUNTIFS('Altura por modelo'!$A$2:$A$2000,A8,'Altura por modelo'!$F$2:$F$2000,"")&gt;0,"altura por talle; ","")&amp;IF(AA8&lt;&gt;"Sí","desactivado; ","")</f>
        <v/>
      </c>
      <c r="E8" t="inlineStr">
        <is>
          <t>Motos eléctricas</t>
        </is>
      </c>
      <c r="F8" t="inlineStr">
        <is>
          <t>Moto eléctrica (scooter)</t>
        </is>
      </c>
      <c r="G8" t="inlineStr">
        <is>
          <t>Eléctrica</t>
        </is>
      </c>
      <c r="H8" t="inlineStr">
        <is>
          <t>Sí</t>
        </is>
      </c>
      <c r="I8" t="inlineStr">
        <is>
          <t>No</t>
        </is>
      </c>
      <c r="J8" t="inlineStr">
        <is>
          <t>No</t>
        </is>
      </c>
      <c r="K8" t="inlineStr">
        <is>
          <t>No</t>
        </is>
      </c>
      <c r="L8" t="inlineStr">
        <is>
          <t>No</t>
        </is>
      </c>
      <c r="M8" t="inlineStr">
        <is>
          <t>No</t>
        </is>
      </c>
      <c r="N8" t="inlineStr">
        <is>
          <t>No</t>
        </is>
      </c>
      <c r="O8" t="inlineStr">
        <is>
          <t>Sí</t>
        </is>
      </c>
      <c r="P8" t="inlineStr">
        <is>
          <t>Asfalto</t>
        </is>
      </c>
      <c r="Q8" s="9" t="n">
        <v>65</v>
      </c>
      <c r="R8" s="9" t="n">
        <v>60</v>
      </c>
      <c r="S8" s="9" t="inlineStr">
        <is>
          <t>Sí</t>
        </is>
      </c>
      <c r="T8" t="inlineStr">
        <is>
          <t>No</t>
        </is>
      </c>
      <c r="U8" s="9" t="n">
        <v>64</v>
      </c>
      <c r="W8" t="inlineStr">
        <is>
          <t>No</t>
        </is>
      </c>
      <c r="Y8" t="inlineStr">
        <is>
          <t>Medio</t>
        </is>
      </c>
      <c r="Z8" t="n">
        <v>0</v>
      </c>
      <c r="AA8" t="inlineStr">
        <is>
          <t>Sí</t>
        </is>
      </c>
      <c r="AB8" s="7" t="inlineStr"/>
      <c r="AC8" s="7" t="inlineStr">
        <is>
          <t>Peso sin batería. Envío a cotizar.</t>
        </is>
      </c>
    </row>
    <row r="9">
      <c r="A9" t="n">
        <v>260347602</v>
      </c>
      <c r="B9" t="inlineStr">
        <is>
          <t>F01</t>
        </is>
      </c>
      <c r="C9" s="8">
        <f>IF(LEN(D9)=0,"SÍ","NO")</f>
        <v/>
      </c>
      <c r="D9" s="7">
        <f>IF(F9="","tipo; ","")&amp;IF(G9="","propulsión; ","")&amp;IF(COUNTIF(H9:M9,"Sí")=0,"uso; ","")&amp;IF(OR(N9="",N9="Revisar"),"silla de niños; ","")&amp;IF(O9="","neumáticos; ","")&amp;IF(P9="","terreno; ","")&amp;IF(AND(G9&lt;&gt;"Pedal",Q9=""),"autonomía; ","")&amp;IF(AND(G9&lt;&gt;"Pedal",R9=""),"velocidad; ","")&amp;IF(OR(S9="",S9="Revisar"),"licencia; ","")&amp;IF(T9="","plegable; ","")&amp;IF(U9="","peso; ","")&amp;IF(AND(G9&lt;&gt;"Pedal",V9=""),"carga máx; ","")&amp;IF(AND(ISNUMBER(SEARCH("Bici",F9)),COUNTIF('Altura por modelo'!$A$2:$A$2000,A9)=0),"altura; ","")&amp;IF(COUNTIFS('Altura por modelo'!$A$2:$A$2000,A9,'Altura por modelo'!$E$2:$E$2000,"")+COUNTIFS('Altura por modelo'!$A$2:$A$2000,A9,'Altura por modelo'!$F$2:$F$2000,"")&gt;0,"altura por talle; ","")&amp;IF(AA9&lt;&gt;"Sí","desactivado; ","")</f>
        <v/>
      </c>
      <c r="E9" t="inlineStr">
        <is>
          <t>Motos eléctricas</t>
        </is>
      </c>
      <c r="F9" t="inlineStr">
        <is>
          <t>Moto eléctrica (scooter)</t>
        </is>
      </c>
      <c r="G9" t="inlineStr">
        <is>
          <t>Eléctrica</t>
        </is>
      </c>
      <c r="H9" t="inlineStr">
        <is>
          <t>Sí</t>
        </is>
      </c>
      <c r="I9" t="inlineStr">
        <is>
          <t>No</t>
        </is>
      </c>
      <c r="J9" t="inlineStr">
        <is>
          <t>No</t>
        </is>
      </c>
      <c r="K9" t="inlineStr">
        <is>
          <t>No</t>
        </is>
      </c>
      <c r="L9" t="inlineStr">
        <is>
          <t>No</t>
        </is>
      </c>
      <c r="M9" t="inlineStr">
        <is>
          <t>No</t>
        </is>
      </c>
      <c r="N9" t="inlineStr">
        <is>
          <t>No</t>
        </is>
      </c>
      <c r="O9" t="inlineStr">
        <is>
          <t>Sí</t>
        </is>
      </c>
      <c r="P9" t="inlineStr">
        <is>
          <t>Asfalto</t>
        </is>
      </c>
      <c r="Q9" s="9" t="n">
        <v>80</v>
      </c>
      <c r="R9" s="9" t="n">
        <v>77</v>
      </c>
      <c r="S9" s="9" t="inlineStr">
        <is>
          <t>Sí</t>
        </is>
      </c>
      <c r="T9" t="inlineStr">
        <is>
          <t>No</t>
        </is>
      </c>
      <c r="U9" s="9" t="n">
        <v>92</v>
      </c>
      <c r="W9" t="inlineStr">
        <is>
          <t>No</t>
        </is>
      </c>
      <c r="Y9" t="inlineStr">
        <is>
          <t>Medio</t>
        </is>
      </c>
      <c r="Z9" t="n">
        <v>0</v>
      </c>
      <c r="AA9" t="inlineStr">
        <is>
          <t>Sí</t>
        </is>
      </c>
      <c r="AB9" s="7" t="inlineStr"/>
      <c r="AC9" s="7" t="inlineStr">
        <is>
          <t>Peso sin batería (+18 kg batería).</t>
        </is>
      </c>
    </row>
    <row r="10">
      <c r="A10" t="n">
        <v>260683064</v>
      </c>
      <c r="B10" t="inlineStr">
        <is>
          <t>CPX</t>
        </is>
      </c>
      <c r="C10" s="8">
        <f>IF(LEN(D10)=0,"SÍ","NO")</f>
        <v/>
      </c>
      <c r="D10" s="7">
        <f>IF(F10="","tipo; ","")&amp;IF(G10="","propulsión; ","")&amp;IF(COUNTIF(H10:M10,"Sí")=0,"uso; ","")&amp;IF(OR(N10="",N10="Revisar"),"silla de niños; ","")&amp;IF(O10="","neumáticos; ","")&amp;IF(P10="","terreno; ","")&amp;IF(AND(G10&lt;&gt;"Pedal",Q10=""),"autonomía; ","")&amp;IF(AND(G10&lt;&gt;"Pedal",R10=""),"velocidad; ","")&amp;IF(OR(S10="",S10="Revisar"),"licencia; ","")&amp;IF(T10="","plegable; ","")&amp;IF(U10="","peso; ","")&amp;IF(AND(G10&lt;&gt;"Pedal",V10=""),"carga máx; ","")&amp;IF(AND(ISNUMBER(SEARCH("Bici",F10)),COUNTIF('Altura por modelo'!$A$2:$A$2000,A10)=0),"altura; ","")&amp;IF(COUNTIFS('Altura por modelo'!$A$2:$A$2000,A10,'Altura por modelo'!$E$2:$E$2000,"")+COUNTIFS('Altura por modelo'!$A$2:$A$2000,A10,'Altura por modelo'!$F$2:$F$2000,"")&gt;0,"altura por talle; ","")&amp;IF(AA10&lt;&gt;"Sí","desactivado; ","")</f>
        <v/>
      </c>
      <c r="E10" t="inlineStr">
        <is>
          <t>Motos eléctricas</t>
        </is>
      </c>
      <c r="F10" t="inlineStr">
        <is>
          <t>Moto eléctrica (scooter)</t>
        </is>
      </c>
      <c r="G10" t="inlineStr">
        <is>
          <t>Eléctrica</t>
        </is>
      </c>
      <c r="H10" t="inlineStr">
        <is>
          <t>Sí</t>
        </is>
      </c>
      <c r="I10" t="inlineStr">
        <is>
          <t>No</t>
        </is>
      </c>
      <c r="J10" t="inlineStr">
        <is>
          <t>No</t>
        </is>
      </c>
      <c r="K10" t="inlineStr">
        <is>
          <t>No</t>
        </is>
      </c>
      <c r="L10" t="inlineStr">
        <is>
          <t>Sí</t>
        </is>
      </c>
      <c r="M10" t="inlineStr">
        <is>
          <t>No</t>
        </is>
      </c>
      <c r="N10" t="inlineStr">
        <is>
          <t>No</t>
        </is>
      </c>
      <c r="O10" t="inlineStr">
        <is>
          <t>Sí</t>
        </is>
      </c>
      <c r="P10" t="inlineStr">
        <is>
          <t>Asfalto</t>
        </is>
      </c>
      <c r="Q10" s="9" t="n">
        <v>70</v>
      </c>
      <c r="R10" s="9" t="n">
        <v>90</v>
      </c>
      <c r="S10" s="9" t="inlineStr">
        <is>
          <t>Sí</t>
        </is>
      </c>
      <c r="T10" t="inlineStr">
        <is>
          <t>No</t>
        </is>
      </c>
      <c r="W10" t="inlineStr">
        <is>
          <t>No</t>
        </is>
      </c>
      <c r="Y10" t="inlineStr">
        <is>
          <t>Alto</t>
        </is>
      </c>
      <c r="Z10" t="n">
        <v>0</v>
      </c>
      <c r="AA10" t="inlineStr">
        <is>
          <t>Sí</t>
        </is>
      </c>
      <c r="AB10" s="7" t="inlineStr"/>
      <c r="AC10" s="7" t="inlineStr">
        <is>
          <t>Equivale a 125 cc. Ampliable a 2 baterías.</t>
        </is>
      </c>
    </row>
    <row r="11">
      <c r="A11" t="n">
        <v>263947898</v>
      </c>
      <c r="B11" t="inlineStr">
        <is>
          <t>CPX (2 Baterías 74V)</t>
        </is>
      </c>
      <c r="C11" s="8">
        <f>IF(LEN(D11)=0,"SÍ","NO")</f>
        <v/>
      </c>
      <c r="D11" s="7">
        <f>IF(F11="","tipo; ","")&amp;IF(G11="","propulsión; ","")&amp;IF(COUNTIF(H11:M11,"Sí")=0,"uso; ","")&amp;IF(OR(N11="",N11="Revisar"),"silla de niños; ","")&amp;IF(O11="","neumáticos; ","")&amp;IF(P11="","terreno; ","")&amp;IF(AND(G11&lt;&gt;"Pedal",Q11=""),"autonomía; ","")&amp;IF(AND(G11&lt;&gt;"Pedal",R11=""),"velocidad; ","")&amp;IF(OR(S11="",S11="Revisar"),"licencia; ","")&amp;IF(T11="","plegable; ","")&amp;IF(U11="","peso; ","")&amp;IF(AND(G11&lt;&gt;"Pedal",V11=""),"carga máx; ","")&amp;IF(AND(ISNUMBER(SEARCH("Bici",F11)),COUNTIF('Altura por modelo'!$A$2:$A$2000,A11)=0),"altura; ","")&amp;IF(COUNTIFS('Altura por modelo'!$A$2:$A$2000,A11,'Altura por modelo'!$E$2:$E$2000,"")+COUNTIFS('Altura por modelo'!$A$2:$A$2000,A11,'Altura por modelo'!$F$2:$F$2000,"")&gt;0,"altura por talle; ","")&amp;IF(AA11&lt;&gt;"Sí","desactivado; ","")</f>
        <v/>
      </c>
      <c r="E11" t="inlineStr">
        <is>
          <t>Motos eléctricas</t>
        </is>
      </c>
      <c r="F11" t="inlineStr">
        <is>
          <t>Moto eléctrica (scooter)</t>
        </is>
      </c>
      <c r="G11" t="inlineStr">
        <is>
          <t>Eléctrica</t>
        </is>
      </c>
      <c r="H11" t="inlineStr">
        <is>
          <t>Sí</t>
        </is>
      </c>
      <c r="I11" t="inlineStr">
        <is>
          <t>No</t>
        </is>
      </c>
      <c r="J11" t="inlineStr">
        <is>
          <t>No</t>
        </is>
      </c>
      <c r="K11" t="inlineStr">
        <is>
          <t>No</t>
        </is>
      </c>
      <c r="L11" t="inlineStr">
        <is>
          <t>Sí</t>
        </is>
      </c>
      <c r="M11" t="inlineStr">
        <is>
          <t>No</t>
        </is>
      </c>
      <c r="N11" t="inlineStr">
        <is>
          <t>No</t>
        </is>
      </c>
      <c r="O11" t="inlineStr">
        <is>
          <t>Sí</t>
        </is>
      </c>
      <c r="P11" t="inlineStr">
        <is>
          <t>Asfalto</t>
        </is>
      </c>
      <c r="Q11" s="9" t="n">
        <v>140</v>
      </c>
      <c r="R11" s="9" t="n">
        <v>90</v>
      </c>
      <c r="S11" s="9" t="inlineStr">
        <is>
          <t>Sí</t>
        </is>
      </c>
      <c r="T11" t="inlineStr">
        <is>
          <t>No</t>
        </is>
      </c>
      <c r="W11" t="inlineStr">
        <is>
          <t>No</t>
        </is>
      </c>
      <c r="Y11" t="inlineStr">
        <is>
          <t>Alto</t>
        </is>
      </c>
      <c r="Z11" t="n">
        <v>0</v>
      </c>
      <c r="AA11" t="inlineStr">
        <is>
          <t>Sí</t>
        </is>
      </c>
      <c r="AB11" s="7" t="inlineStr"/>
      <c r="AC11" s="7" t="inlineStr"/>
    </row>
    <row r="12">
      <c r="A12" t="n">
        <v>327905251</v>
      </c>
      <c r="B12" t="inlineStr">
        <is>
          <t>CPX Explorer (2 baterías)</t>
        </is>
      </c>
      <c r="C12" s="8">
        <f>IF(LEN(D12)=0,"SÍ","NO")</f>
        <v/>
      </c>
      <c r="D12" s="7">
        <f>IF(F12="","tipo; ","")&amp;IF(G12="","propulsión; ","")&amp;IF(COUNTIF(H12:M12,"Sí")=0,"uso; ","")&amp;IF(OR(N12="",N12="Revisar"),"silla de niños; ","")&amp;IF(O12="","neumáticos; ","")&amp;IF(P12="","terreno; ","")&amp;IF(AND(G12&lt;&gt;"Pedal",Q12=""),"autonomía; ","")&amp;IF(AND(G12&lt;&gt;"Pedal",R12=""),"velocidad; ","")&amp;IF(OR(S12="",S12="Revisar"),"licencia; ","")&amp;IF(T12="","plegable; ","")&amp;IF(U12="","peso; ","")&amp;IF(AND(G12&lt;&gt;"Pedal",V12=""),"carga máx; ","")&amp;IF(AND(ISNUMBER(SEARCH("Bici",F12)),COUNTIF('Altura por modelo'!$A$2:$A$2000,A12)=0),"altura; ","")&amp;IF(COUNTIFS('Altura por modelo'!$A$2:$A$2000,A12,'Altura por modelo'!$E$2:$E$2000,"")+COUNTIFS('Altura por modelo'!$A$2:$A$2000,A12,'Altura por modelo'!$F$2:$F$2000,"")&gt;0,"altura por talle; ","")&amp;IF(AA12&lt;&gt;"Sí","desactivado; ","")</f>
        <v/>
      </c>
      <c r="E12" t="inlineStr">
        <is>
          <t>Motos eléctricas</t>
        </is>
      </c>
      <c r="F12" t="inlineStr">
        <is>
          <t>Moto eléctrica (scooter)</t>
        </is>
      </c>
      <c r="G12" t="inlineStr">
        <is>
          <t>Eléctrica</t>
        </is>
      </c>
      <c r="H12" t="inlineStr">
        <is>
          <t>Sí</t>
        </is>
      </c>
      <c r="I12" t="inlineStr">
        <is>
          <t>No</t>
        </is>
      </c>
      <c r="J12" t="inlineStr">
        <is>
          <t>No</t>
        </is>
      </c>
      <c r="K12" t="inlineStr">
        <is>
          <t>No</t>
        </is>
      </c>
      <c r="L12" t="inlineStr">
        <is>
          <t>Sí</t>
        </is>
      </c>
      <c r="M12" t="inlineStr">
        <is>
          <t>No</t>
        </is>
      </c>
      <c r="N12" t="inlineStr">
        <is>
          <t>No</t>
        </is>
      </c>
      <c r="O12" t="inlineStr">
        <is>
          <t>Sí</t>
        </is>
      </c>
      <c r="P12" t="inlineStr">
        <is>
          <t>Asfalto</t>
        </is>
      </c>
      <c r="R12" s="9" t="n">
        <v>105</v>
      </c>
      <c r="S12" s="9" t="inlineStr">
        <is>
          <t>Sí</t>
        </is>
      </c>
      <c r="T12" t="inlineStr">
        <is>
          <t>No</t>
        </is>
      </c>
      <c r="W12" t="inlineStr">
        <is>
          <t>No</t>
        </is>
      </c>
      <c r="Y12" t="inlineStr">
        <is>
          <t>Alto</t>
        </is>
      </c>
      <c r="Z12" t="n">
        <v>0</v>
      </c>
      <c r="AA12" t="inlineStr">
        <is>
          <t>Sí</t>
        </is>
      </c>
      <c r="AB12" s="7" t="inlineStr"/>
      <c r="AC12" s="7" t="inlineStr">
        <is>
          <t>Completar autonomía (la ficha no la dice).</t>
        </is>
      </c>
    </row>
    <row r="13">
      <c r="A13" t="n">
        <v>327910096</v>
      </c>
      <c r="B13" t="inlineStr">
        <is>
          <t>CITI</t>
        </is>
      </c>
      <c r="C13" s="8">
        <f>IF(LEN(D13)=0,"SÍ","NO")</f>
        <v/>
      </c>
      <c r="D13" s="7">
        <f>IF(F13="","tipo; ","")&amp;IF(G13="","propulsión; ","")&amp;IF(COUNTIF(H13:M13,"Sí")=0,"uso; ","")&amp;IF(OR(N13="",N13="Revisar"),"silla de niños; ","")&amp;IF(O13="","neumáticos; ","")&amp;IF(P13="","terreno; ","")&amp;IF(AND(G13&lt;&gt;"Pedal",Q13=""),"autonomía; ","")&amp;IF(AND(G13&lt;&gt;"Pedal",R13=""),"velocidad; ","")&amp;IF(OR(S13="",S13="Revisar"),"licencia; ","")&amp;IF(T13="","plegable; ","")&amp;IF(U13="","peso; ","")&amp;IF(AND(G13&lt;&gt;"Pedal",V13=""),"carga máx; ","")&amp;IF(AND(ISNUMBER(SEARCH("Bici",F13)),COUNTIF('Altura por modelo'!$A$2:$A$2000,A13)=0),"altura; ","")&amp;IF(COUNTIFS('Altura por modelo'!$A$2:$A$2000,A13,'Altura por modelo'!$E$2:$E$2000,"")+COUNTIFS('Altura por modelo'!$A$2:$A$2000,A13,'Altura por modelo'!$F$2:$F$2000,"")&gt;0,"altura por talle; ","")&amp;IF(AA13&lt;&gt;"Sí","desactivado; ","")</f>
        <v/>
      </c>
      <c r="E13" t="inlineStr">
        <is>
          <t>Motos eléctricas</t>
        </is>
      </c>
      <c r="F13" t="inlineStr">
        <is>
          <t>Moto eléctrica</t>
        </is>
      </c>
      <c r="G13" t="inlineStr">
        <is>
          <t>Eléctrica</t>
        </is>
      </c>
      <c r="H13" t="inlineStr">
        <is>
          <t>Sí</t>
        </is>
      </c>
      <c r="I13" t="inlineStr">
        <is>
          <t>No</t>
        </is>
      </c>
      <c r="J13" t="inlineStr">
        <is>
          <t>No</t>
        </is>
      </c>
      <c r="K13" t="inlineStr">
        <is>
          <t>No</t>
        </is>
      </c>
      <c r="L13" t="inlineStr">
        <is>
          <t>No</t>
        </is>
      </c>
      <c r="M13" t="inlineStr">
        <is>
          <t>No</t>
        </is>
      </c>
      <c r="N13" t="inlineStr">
        <is>
          <t>No</t>
        </is>
      </c>
      <c r="O13" t="inlineStr">
        <is>
          <t>Sí</t>
        </is>
      </c>
      <c r="P13" t="inlineStr">
        <is>
          <t>Asfalto</t>
        </is>
      </c>
      <c r="Q13" s="9" t="n">
        <v>107</v>
      </c>
      <c r="R13" s="9" t="n">
        <v>80</v>
      </c>
      <c r="S13" s="9" t="inlineStr">
        <is>
          <t>Sí</t>
        </is>
      </c>
      <c r="T13" t="inlineStr">
        <is>
          <t>No</t>
        </is>
      </c>
      <c r="W13" t="inlineStr">
        <is>
          <t>No</t>
        </is>
      </c>
      <c r="Y13" t="inlineStr">
        <is>
          <t>Medio</t>
        </is>
      </c>
      <c r="Z13" t="n">
        <v>0</v>
      </c>
      <c r="AA13" t="inlineStr">
        <is>
          <t>Sí</t>
        </is>
      </c>
      <c r="AB13" s="7" t="inlineStr"/>
      <c r="AC13" s="7" t="inlineStr"/>
    </row>
    <row r="14">
      <c r="A14" t="n">
        <v>260342361</v>
      </c>
      <c r="B14" t="inlineStr">
        <is>
          <t>2Fold 20</t>
        </is>
      </c>
      <c r="C14" s="8">
        <f>IF(LEN(D14)=0,"SÍ","NO")</f>
        <v/>
      </c>
      <c r="D14" s="7">
        <f>IF(F14="","tipo; ","")&amp;IF(G14="","propulsión; ","")&amp;IF(COUNTIF(H14:M14,"Sí")=0,"uso; ","")&amp;IF(OR(N14="",N14="Revisar"),"silla de niños; ","")&amp;IF(O14="","neumáticos; ","")&amp;IF(P14="","terreno; ","")&amp;IF(AND(G14&lt;&gt;"Pedal",Q14=""),"autonomía; ","")&amp;IF(AND(G14&lt;&gt;"Pedal",R14=""),"velocidad; ","")&amp;IF(OR(S14="",S14="Revisar"),"licencia; ","")&amp;IF(T14="","plegable; ","")&amp;IF(U14="","peso; ","")&amp;IF(AND(G14&lt;&gt;"Pedal",V14=""),"carga máx; ","")&amp;IF(AND(ISNUMBER(SEARCH("Bici",F14)),COUNTIF('Altura por modelo'!$A$2:$A$2000,A14)=0),"altura; ","")&amp;IF(COUNTIFS('Altura por modelo'!$A$2:$A$2000,A14,'Altura por modelo'!$E$2:$E$2000,"")+COUNTIFS('Altura por modelo'!$A$2:$A$2000,A14,'Altura por modelo'!$F$2:$F$2000,"")&gt;0,"altura por talle; ","")&amp;IF(AA14&lt;&gt;"Sí","desactivado; ","")</f>
        <v/>
      </c>
      <c r="E14" t="inlineStr">
        <is>
          <t>Bicicletas eléctricas</t>
        </is>
      </c>
      <c r="F14" t="inlineStr">
        <is>
          <t>Bici eléctrica plegable</t>
        </is>
      </c>
      <c r="G14" t="inlineStr">
        <is>
          <t>Asistida + acelerador</t>
        </is>
      </c>
      <c r="H14" t="inlineStr">
        <is>
          <t>Sí</t>
        </is>
      </c>
      <c r="I14" t="inlineStr">
        <is>
          <t>Sí</t>
        </is>
      </c>
      <c r="J14" t="inlineStr">
        <is>
          <t>No</t>
        </is>
      </c>
      <c r="K14" t="inlineStr">
        <is>
          <t>No</t>
        </is>
      </c>
      <c r="L14" t="inlineStr">
        <is>
          <t>No</t>
        </is>
      </c>
      <c r="M14" t="inlineStr">
        <is>
          <t>No</t>
        </is>
      </c>
      <c r="N14" s="10" t="inlineStr">
        <is>
          <t>Revisar</t>
        </is>
      </c>
      <c r="O14" t="inlineStr">
        <is>
          <t>Sí</t>
        </is>
      </c>
      <c r="P14" t="inlineStr">
        <is>
          <t>Asfalto</t>
        </is>
      </c>
      <c r="Q14" s="9" t="n">
        <v>40</v>
      </c>
      <c r="R14" s="9" t="n">
        <v>25</v>
      </c>
      <c r="S14" t="inlineStr">
        <is>
          <t>No</t>
        </is>
      </c>
      <c r="T14" s="9" t="inlineStr">
        <is>
          <t>Sí</t>
        </is>
      </c>
      <c r="U14" s="9" t="n">
        <v>17.5</v>
      </c>
      <c r="V14" s="9" t="n">
        <v>115</v>
      </c>
      <c r="W14" t="inlineStr">
        <is>
          <t>No</t>
        </is>
      </c>
      <c r="Y14" t="inlineStr">
        <is>
          <t>Medio</t>
        </is>
      </c>
      <c r="Z14" t="n">
        <v>0</v>
      </c>
      <c r="AA14" t="inlineStr">
        <is>
          <t>Sí</t>
        </is>
      </c>
      <c r="AB14" s="7" t="inlineStr">
        <is>
          <t>La e-bike plegable más liviana: 17,5 kg, se guarda bajo el escritorio.</t>
        </is>
      </c>
      <c r="AC14" s="7" t="inlineStr"/>
    </row>
    <row r="15">
      <c r="A15" t="n">
        <v>260343629</v>
      </c>
      <c r="B15" t="inlineStr">
        <is>
          <t>HSD P9</t>
        </is>
      </c>
      <c r="C15" s="8">
        <f>IF(LEN(D15)=0,"SÍ","NO")</f>
        <v/>
      </c>
      <c r="D15" s="7">
        <f>IF(F15="","tipo; ","")&amp;IF(G15="","propulsión; ","")&amp;IF(COUNTIF(H15:M15,"Sí")=0,"uso; ","")&amp;IF(OR(N15="",N15="Revisar"),"silla de niños; ","")&amp;IF(O15="","neumáticos; ","")&amp;IF(P15="","terreno; ","")&amp;IF(AND(G15&lt;&gt;"Pedal",Q15=""),"autonomía; ","")&amp;IF(AND(G15&lt;&gt;"Pedal",R15=""),"velocidad; ","")&amp;IF(OR(S15="",S15="Revisar"),"licencia; ","")&amp;IF(T15="","plegable; ","")&amp;IF(U15="","peso; ","")&amp;IF(AND(G15&lt;&gt;"Pedal",V15=""),"carga máx; ","")&amp;IF(AND(ISNUMBER(SEARCH("Bici",F15)),COUNTIF('Altura por modelo'!$A$2:$A$2000,A15)=0),"altura; ","")&amp;IF(COUNTIFS('Altura por modelo'!$A$2:$A$2000,A15,'Altura por modelo'!$E$2:$E$2000,"")+COUNTIFS('Altura por modelo'!$A$2:$A$2000,A15,'Altura por modelo'!$F$2:$F$2000,"")&gt;0,"altura por talle; ","")&amp;IF(AA15&lt;&gt;"Sí","desactivado; ","")</f>
        <v/>
      </c>
      <c r="E15" t="inlineStr">
        <is>
          <t>Bicicletas eléctricas</t>
        </is>
      </c>
      <c r="F15" t="inlineStr">
        <is>
          <t>Bici eléctrica de carga</t>
        </is>
      </c>
      <c r="G15" t="inlineStr">
        <is>
          <t>Asistida</t>
        </is>
      </c>
      <c r="H15" t="inlineStr">
        <is>
          <t>Sí</t>
        </is>
      </c>
      <c r="I15" t="inlineStr">
        <is>
          <t>No</t>
        </is>
      </c>
      <c r="J15" t="inlineStr">
        <is>
          <t>No</t>
        </is>
      </c>
      <c r="K15" t="inlineStr">
        <is>
          <t>Sí</t>
        </is>
      </c>
      <c r="L15" t="inlineStr">
        <is>
          <t>Sí</t>
        </is>
      </c>
      <c r="M15" t="inlineStr">
        <is>
          <t>No</t>
        </is>
      </c>
      <c r="N15" t="inlineStr">
        <is>
          <t>Sí</t>
        </is>
      </c>
      <c r="O15" t="inlineStr">
        <is>
          <t>Sí</t>
        </is>
      </c>
      <c r="P15" t="inlineStr">
        <is>
          <t>Asfalto y mixto</t>
        </is>
      </c>
      <c r="Q15" s="9" t="n">
        <v>120</v>
      </c>
      <c r="S15" t="inlineStr">
        <is>
          <t>No</t>
        </is>
      </c>
      <c r="T15" s="9" t="inlineStr">
        <is>
          <t>Sí</t>
        </is>
      </c>
      <c r="U15" s="9" t="n">
        <v>25.7</v>
      </c>
      <c r="V15" s="9" t="n">
        <v>170</v>
      </c>
      <c r="W15" t="inlineStr">
        <is>
          <t>No</t>
        </is>
      </c>
      <c r="Y15" t="inlineStr">
        <is>
          <t>Alto</t>
        </is>
      </c>
      <c r="Z15" t="n">
        <v>0</v>
      </c>
      <c r="AA15" t="inlineStr">
        <is>
          <t>Sí</t>
        </is>
      </c>
      <c r="AB15" s="7" t="inlineStr">
        <is>
          <t>Lleva a los chicos o 60 kg atrás y se guarda vertical ocupando poco lugar.</t>
        </is>
      </c>
      <c r="AC15" s="7" t="inlineStr">
        <is>
          <t>Carga total 170 kg / usuario hasta 120 kg.</t>
        </is>
      </c>
    </row>
    <row r="16">
      <c r="A16" t="n">
        <v>260344367</v>
      </c>
      <c r="B16" t="inlineStr">
        <is>
          <t>2Fold 20 Fat</t>
        </is>
      </c>
      <c r="C16" s="8">
        <f>IF(LEN(D16)=0,"SÍ","NO")</f>
        <v/>
      </c>
      <c r="D16" s="7">
        <f>IF(F16="","tipo; ","")&amp;IF(G16="","propulsión; ","")&amp;IF(COUNTIF(H16:M16,"Sí")=0,"uso; ","")&amp;IF(OR(N16="",N16="Revisar"),"silla de niños; ","")&amp;IF(O16="","neumáticos; ","")&amp;IF(P16="","terreno; ","")&amp;IF(AND(G16&lt;&gt;"Pedal",Q16=""),"autonomía; ","")&amp;IF(AND(G16&lt;&gt;"Pedal",R16=""),"velocidad; ","")&amp;IF(OR(S16="",S16="Revisar"),"licencia; ","")&amp;IF(T16="","plegable; ","")&amp;IF(U16="","peso; ","")&amp;IF(AND(G16&lt;&gt;"Pedal",V16=""),"carga máx; ","")&amp;IF(AND(ISNUMBER(SEARCH("Bici",F16)),COUNTIF('Altura por modelo'!$A$2:$A$2000,A16)=0),"altura; ","")&amp;IF(COUNTIFS('Altura por modelo'!$A$2:$A$2000,A16,'Altura por modelo'!$E$2:$E$2000,"")+COUNTIFS('Altura por modelo'!$A$2:$A$2000,A16,'Altura por modelo'!$F$2:$F$2000,"")&gt;0,"altura por talle; ","")&amp;IF(AA16&lt;&gt;"Sí","desactivado; ","")</f>
        <v/>
      </c>
      <c r="E16" t="inlineStr">
        <is>
          <t>Bicicletas eléctricas</t>
        </is>
      </c>
      <c r="F16" t="inlineStr">
        <is>
          <t>Bici eléctrica plegable</t>
        </is>
      </c>
      <c r="G16" t="inlineStr">
        <is>
          <t>Asistida + acelerador</t>
        </is>
      </c>
      <c r="H16" t="inlineStr">
        <is>
          <t>Sí</t>
        </is>
      </c>
      <c r="I16" t="inlineStr">
        <is>
          <t>Sí</t>
        </is>
      </c>
      <c r="J16" t="inlineStr">
        <is>
          <t>No</t>
        </is>
      </c>
      <c r="K16" t="inlineStr">
        <is>
          <t>No</t>
        </is>
      </c>
      <c r="L16" t="inlineStr">
        <is>
          <t>No</t>
        </is>
      </c>
      <c r="M16" t="inlineStr">
        <is>
          <t>No</t>
        </is>
      </c>
      <c r="N16" s="10" t="inlineStr">
        <is>
          <t>Revisar</t>
        </is>
      </c>
      <c r="O16" t="inlineStr">
        <is>
          <t>Sí</t>
        </is>
      </c>
      <c r="P16" t="inlineStr">
        <is>
          <t>Asfalto y mixto</t>
        </is>
      </c>
      <c r="Q16" s="9" t="n">
        <v>40</v>
      </c>
      <c r="R16" s="9" t="n">
        <v>32</v>
      </c>
      <c r="S16" t="inlineStr">
        <is>
          <t>No</t>
        </is>
      </c>
      <c r="T16" s="9" t="inlineStr">
        <is>
          <t>Sí</t>
        </is>
      </c>
      <c r="U16" s="9" t="n">
        <v>20</v>
      </c>
      <c r="V16" s="9" t="n">
        <v>115</v>
      </c>
      <c r="W16" t="inlineStr">
        <is>
          <t>No</t>
        </is>
      </c>
      <c r="Y16" t="inlineStr">
        <is>
          <t>Medio</t>
        </is>
      </c>
      <c r="Z16" t="n">
        <v>0</v>
      </c>
      <c r="AA16" t="inlineStr">
        <is>
          <t>Sí</t>
        </is>
      </c>
      <c r="AB16" s="7" t="inlineStr"/>
      <c r="AC16" s="7" t="inlineStr"/>
    </row>
    <row r="17">
      <c r="A17" t="n">
        <v>260347235</v>
      </c>
      <c r="B17" t="inlineStr">
        <is>
          <t>Brina2 X1000</t>
        </is>
      </c>
      <c r="C17" s="8">
        <f>IF(LEN(D17)=0,"SÍ","NO")</f>
        <v/>
      </c>
      <c r="D17" s="7">
        <f>IF(F17="","tipo; ","")&amp;IF(G17="","propulsión; ","")&amp;IF(COUNTIF(H17:M17,"Sí")=0,"uso; ","")&amp;IF(OR(N17="",N17="Revisar"),"silla de niños; ","")&amp;IF(O17="","neumáticos; ","")&amp;IF(P17="","terreno; ","")&amp;IF(AND(G17&lt;&gt;"Pedal",Q17=""),"autonomía; ","")&amp;IF(AND(G17&lt;&gt;"Pedal",R17=""),"velocidad; ","")&amp;IF(OR(S17="",S17="Revisar"),"licencia; ","")&amp;IF(T17="","plegable; ","")&amp;IF(U17="","peso; ","")&amp;IF(AND(G17&lt;&gt;"Pedal",V17=""),"carga máx; ","")&amp;IF(AND(ISNUMBER(SEARCH("Bici",F17)),COUNTIF('Altura por modelo'!$A$2:$A$2000,A17)=0),"altura; ","")&amp;IF(COUNTIFS('Altura por modelo'!$A$2:$A$2000,A17,'Altura por modelo'!$E$2:$E$2000,"")+COUNTIFS('Altura por modelo'!$A$2:$A$2000,A17,'Altura por modelo'!$F$2:$F$2000,"")&gt;0,"altura por talle; ","")&amp;IF(AA17&lt;&gt;"Sí","desactivado; ","")</f>
        <v/>
      </c>
      <c r="E17" t="inlineStr">
        <is>
          <t>Bicicletas eléctricas</t>
        </is>
      </c>
      <c r="F17" t="inlineStr">
        <is>
          <t>Bici eléctrica urbana/MTB</t>
        </is>
      </c>
      <c r="G17" t="inlineStr">
        <is>
          <t>Asistida + acelerador</t>
        </is>
      </c>
      <c r="H17" t="inlineStr">
        <is>
          <t>Sí</t>
        </is>
      </c>
      <c r="I17" t="inlineStr">
        <is>
          <t>Sí</t>
        </is>
      </c>
      <c r="J17" t="inlineStr">
        <is>
          <t>Sí</t>
        </is>
      </c>
      <c r="K17" t="inlineStr">
        <is>
          <t>No</t>
        </is>
      </c>
      <c r="L17" t="inlineStr">
        <is>
          <t>No</t>
        </is>
      </c>
      <c r="M17" t="inlineStr">
        <is>
          <t>No</t>
        </is>
      </c>
      <c r="N17" s="10" t="inlineStr">
        <is>
          <t>Revisar</t>
        </is>
      </c>
      <c r="O17" t="inlineStr">
        <is>
          <t>Sí</t>
        </is>
      </c>
      <c r="P17" t="inlineStr">
        <is>
          <t>Asfalto y mixto</t>
        </is>
      </c>
      <c r="Q17" s="9" t="n">
        <v>70</v>
      </c>
      <c r="R17" s="9" t="n">
        <v>38</v>
      </c>
      <c r="S17" t="inlineStr">
        <is>
          <t>Revisar</t>
        </is>
      </c>
      <c r="T17" t="inlineStr">
        <is>
          <t>No</t>
        </is>
      </c>
      <c r="U17" s="9" t="n">
        <v>22</v>
      </c>
      <c r="W17" t="inlineStr">
        <is>
          <t>No</t>
        </is>
      </c>
      <c r="Y17" t="inlineStr">
        <is>
          <t>Alto</t>
        </is>
      </c>
      <c r="Z17" t="n">
        <v>0</v>
      </c>
      <c r="AA17" t="inlineStr">
        <is>
          <t>Sí</t>
        </is>
      </c>
      <c r="AB17" s="7" t="inlineStr"/>
      <c r="AC17" s="7" t="inlineStr">
        <is>
          <t>1000 W y 38 km/h: revisar si requiere patente.</t>
        </is>
      </c>
    </row>
    <row r="18">
      <c r="A18" t="n">
        <v>263963220</v>
      </c>
      <c r="B18" t="inlineStr">
        <is>
          <t>Quick Haul P9</t>
        </is>
      </c>
      <c r="C18" s="8">
        <f>IF(LEN(D18)=0,"SÍ","NO")</f>
        <v/>
      </c>
      <c r="D18" s="7">
        <f>IF(F18="","tipo; ","")&amp;IF(G18="","propulsión; ","")&amp;IF(COUNTIF(H18:M18,"Sí")=0,"uso; ","")&amp;IF(OR(N18="",N18="Revisar"),"silla de niños; ","")&amp;IF(O18="","neumáticos; ","")&amp;IF(P18="","terreno; ","")&amp;IF(AND(G18&lt;&gt;"Pedal",Q18=""),"autonomía; ","")&amp;IF(AND(G18&lt;&gt;"Pedal",R18=""),"velocidad; ","")&amp;IF(OR(S18="",S18="Revisar"),"licencia; ","")&amp;IF(T18="","plegable; ","")&amp;IF(U18="","peso; ","")&amp;IF(AND(G18&lt;&gt;"Pedal",V18=""),"carga máx; ","")&amp;IF(AND(ISNUMBER(SEARCH("Bici",F18)),COUNTIF('Altura por modelo'!$A$2:$A$2000,A18)=0),"altura; ","")&amp;IF(COUNTIFS('Altura por modelo'!$A$2:$A$2000,A18,'Altura por modelo'!$E$2:$E$2000,"")+COUNTIFS('Altura por modelo'!$A$2:$A$2000,A18,'Altura por modelo'!$F$2:$F$2000,"")&gt;0,"altura por talle; ","")&amp;IF(AA18&lt;&gt;"Sí","desactivado; ","")</f>
        <v/>
      </c>
      <c r="E18" t="inlineStr">
        <is>
          <t>Bicicletas eléctricas</t>
        </is>
      </c>
      <c r="F18" t="inlineStr">
        <is>
          <t>Bici eléctrica de carga</t>
        </is>
      </c>
      <c r="G18" t="inlineStr">
        <is>
          <t>Asistida</t>
        </is>
      </c>
      <c r="H18" t="inlineStr">
        <is>
          <t>Sí</t>
        </is>
      </c>
      <c r="I18" t="inlineStr">
        <is>
          <t>No</t>
        </is>
      </c>
      <c r="J18" t="inlineStr">
        <is>
          <t>No</t>
        </is>
      </c>
      <c r="K18" t="inlineStr">
        <is>
          <t>Sí</t>
        </is>
      </c>
      <c r="L18" t="inlineStr">
        <is>
          <t>Sí</t>
        </is>
      </c>
      <c r="M18" t="inlineStr">
        <is>
          <t>No</t>
        </is>
      </c>
      <c r="N18" t="inlineStr">
        <is>
          <t>Sí</t>
        </is>
      </c>
      <c r="O18" t="inlineStr">
        <is>
          <t>Sí</t>
        </is>
      </c>
      <c r="P18" t="inlineStr">
        <is>
          <t>Asfalto</t>
        </is>
      </c>
      <c r="Q18" s="9" t="n">
        <v>106</v>
      </c>
      <c r="S18" t="inlineStr">
        <is>
          <t>No</t>
        </is>
      </c>
      <c r="T18" t="inlineStr">
        <is>
          <t>No</t>
        </is>
      </c>
      <c r="U18" s="9" t="n">
        <v>23</v>
      </c>
      <c r="V18" s="9" t="n">
        <v>150</v>
      </c>
      <c r="W18" t="inlineStr">
        <is>
          <t>No</t>
        </is>
      </c>
      <c r="Y18" t="inlineStr">
        <is>
          <t>Alto</t>
        </is>
      </c>
      <c r="Z18" t="n">
        <v>0</v>
      </c>
      <c r="AA18" t="inlineStr">
        <is>
          <t>Sí</t>
        </is>
      </c>
      <c r="AB18" s="7" t="inlineStr"/>
      <c r="AC18" s="7" t="inlineStr">
        <is>
          <t>Autonomía 53–106 km según modo. 145 cm con caño de asiento corto.</t>
        </is>
      </c>
    </row>
    <row r="19">
      <c r="A19" t="n">
        <v>264034402</v>
      </c>
      <c r="B19" t="inlineStr">
        <is>
          <t>Nbd S5I</t>
        </is>
      </c>
      <c r="C19" s="8">
        <f>IF(LEN(D19)=0,"SÍ","NO")</f>
        <v/>
      </c>
      <c r="D19" s="7">
        <f>IF(F19="","tipo; ","")&amp;IF(G19="","propulsión; ","")&amp;IF(COUNTIF(H19:M19,"Sí")=0,"uso; ","")&amp;IF(OR(N19="",N19="Revisar"),"silla de niños; ","")&amp;IF(O19="","neumáticos; ","")&amp;IF(P19="","terreno; ","")&amp;IF(AND(G19&lt;&gt;"Pedal",Q19=""),"autonomía; ","")&amp;IF(AND(G19&lt;&gt;"Pedal",R19=""),"velocidad; ","")&amp;IF(OR(S19="",S19="Revisar"),"licencia; ","")&amp;IF(T19="","plegable; ","")&amp;IF(U19="","peso; ","")&amp;IF(AND(G19&lt;&gt;"Pedal",V19=""),"carga máx; ","")&amp;IF(AND(ISNUMBER(SEARCH("Bici",F19)),COUNTIF('Altura por modelo'!$A$2:$A$2000,A19)=0),"altura; ","")&amp;IF(COUNTIFS('Altura por modelo'!$A$2:$A$2000,A19,'Altura por modelo'!$E$2:$E$2000,"")+COUNTIFS('Altura por modelo'!$A$2:$A$2000,A19,'Altura por modelo'!$F$2:$F$2000,"")&gt;0,"altura por talle; ","")&amp;IF(AA19&lt;&gt;"Sí","desactivado; ","")</f>
        <v/>
      </c>
      <c r="E19" t="inlineStr">
        <is>
          <t>Bicicletas eléctricas</t>
        </is>
      </c>
      <c r="F19" t="inlineStr">
        <is>
          <t>Bici eléctrica urbana</t>
        </is>
      </c>
      <c r="G19" t="inlineStr">
        <is>
          <t>Asistida</t>
        </is>
      </c>
      <c r="H19" t="inlineStr">
        <is>
          <t>Sí</t>
        </is>
      </c>
      <c r="I19" t="inlineStr">
        <is>
          <t>Sí</t>
        </is>
      </c>
      <c r="J19" t="inlineStr">
        <is>
          <t>No</t>
        </is>
      </c>
      <c r="K19" t="inlineStr">
        <is>
          <t>No</t>
        </is>
      </c>
      <c r="L19" t="inlineStr">
        <is>
          <t>No</t>
        </is>
      </c>
      <c r="M19" t="inlineStr">
        <is>
          <t>No</t>
        </is>
      </c>
      <c r="N19" s="10" t="inlineStr">
        <is>
          <t>Revisar</t>
        </is>
      </c>
      <c r="O19" t="inlineStr">
        <is>
          <t>Sí</t>
        </is>
      </c>
      <c r="P19" t="inlineStr">
        <is>
          <t>Asfalto</t>
        </is>
      </c>
      <c r="Q19" s="9" t="n">
        <v>118</v>
      </c>
      <c r="S19" t="inlineStr">
        <is>
          <t>No</t>
        </is>
      </c>
      <c r="T19" t="inlineStr">
        <is>
          <t>Parcial</t>
        </is>
      </c>
      <c r="V19" s="9" t="n">
        <v>120</v>
      </c>
      <c r="W19" t="inlineStr">
        <is>
          <t>No</t>
        </is>
      </c>
      <c r="Y19" t="inlineStr">
        <is>
          <t>Alto</t>
        </is>
      </c>
      <c r="Z19" t="n">
        <v>0</v>
      </c>
      <c r="AA19" t="inlineStr">
        <is>
          <t>Sí</t>
        </is>
      </c>
      <c r="AB19" s="7" t="inlineStr"/>
      <c r="AC19" s="7" t="inlineStr">
        <is>
          <t>Autonomía 51–118 km. Confirmar plegado (ficha: 'tiempo de plegado 5 s').</t>
        </is>
      </c>
    </row>
    <row r="20">
      <c r="A20" t="n">
        <v>273218901</v>
      </c>
      <c r="B20" t="inlineStr">
        <is>
          <t>Slim</t>
        </is>
      </c>
      <c r="C20" s="8">
        <f>IF(LEN(D20)=0,"SÍ","NO")</f>
        <v/>
      </c>
      <c r="D20" s="7">
        <f>IF(F20="","tipo; ","")&amp;IF(G20="","propulsión; ","")&amp;IF(COUNTIF(H20:M20,"Sí")=0,"uso; ","")&amp;IF(OR(N20="",N20="Revisar"),"silla de niños; ","")&amp;IF(O20="","neumáticos; ","")&amp;IF(P20="","terreno; ","")&amp;IF(AND(G20&lt;&gt;"Pedal",Q20=""),"autonomía; ","")&amp;IF(AND(G20&lt;&gt;"Pedal",R20=""),"velocidad; ","")&amp;IF(OR(S20="",S20="Revisar"),"licencia; ","")&amp;IF(T20="","plegable; ","")&amp;IF(U20="","peso; ","")&amp;IF(AND(G20&lt;&gt;"Pedal",V20=""),"carga máx; ","")&amp;IF(AND(ISNUMBER(SEARCH("Bici",F20)),COUNTIF('Altura por modelo'!$A$2:$A$2000,A20)=0),"altura; ","")&amp;IF(COUNTIFS('Altura por modelo'!$A$2:$A$2000,A20,'Altura por modelo'!$E$2:$E$2000,"")+COUNTIFS('Altura por modelo'!$A$2:$A$2000,A20,'Altura por modelo'!$F$2:$F$2000,"")&gt;0,"altura por talle; ","")&amp;IF(AA20&lt;&gt;"Sí","desactivado; ","")</f>
        <v/>
      </c>
      <c r="E20" t="inlineStr">
        <is>
          <t>Bicicletas eléctricas</t>
        </is>
      </c>
      <c r="F20" t="inlineStr">
        <is>
          <t>Bici eléctrica plegable</t>
        </is>
      </c>
      <c r="G20" t="inlineStr">
        <is>
          <t>Asistida + acelerador</t>
        </is>
      </c>
      <c r="H20" t="inlineStr">
        <is>
          <t>Sí</t>
        </is>
      </c>
      <c r="I20" t="inlineStr">
        <is>
          <t>No</t>
        </is>
      </c>
      <c r="J20" t="inlineStr">
        <is>
          <t>No</t>
        </is>
      </c>
      <c r="K20" t="inlineStr">
        <is>
          <t>No</t>
        </is>
      </c>
      <c r="L20" t="inlineStr">
        <is>
          <t>No</t>
        </is>
      </c>
      <c r="M20" t="inlineStr">
        <is>
          <t>No</t>
        </is>
      </c>
      <c r="N20" s="10" t="inlineStr">
        <is>
          <t>Revisar</t>
        </is>
      </c>
      <c r="O20" t="inlineStr">
        <is>
          <t>Sí</t>
        </is>
      </c>
      <c r="P20" t="inlineStr">
        <is>
          <t>Asfalto</t>
        </is>
      </c>
      <c r="Q20" s="9" t="n">
        <v>40</v>
      </c>
      <c r="R20" s="9" t="n">
        <v>30</v>
      </c>
      <c r="S20" t="inlineStr">
        <is>
          <t>No</t>
        </is>
      </c>
      <c r="T20" s="9" t="inlineStr">
        <is>
          <t>Sí</t>
        </is>
      </c>
      <c r="U20" s="9" t="n">
        <v>18</v>
      </c>
      <c r="W20" t="inlineStr">
        <is>
          <t>No</t>
        </is>
      </c>
      <c r="Y20" t="inlineStr">
        <is>
          <t>Medio</t>
        </is>
      </c>
      <c r="Z20" t="n">
        <v>0</v>
      </c>
      <c r="AA20" t="inlineStr">
        <is>
          <t>Sí</t>
        </is>
      </c>
      <c r="AB20" s="7" t="inlineStr"/>
      <c r="AC20" s="7" t="inlineStr"/>
    </row>
    <row r="21">
      <c r="A21" t="n">
        <v>273255228</v>
      </c>
      <c r="B21" t="inlineStr">
        <is>
          <t>X350</t>
        </is>
      </c>
      <c r="C21" s="8">
        <f>IF(LEN(D21)=0,"SÍ","NO")</f>
        <v/>
      </c>
      <c r="D21" s="7">
        <f>IF(F21="","tipo; ","")&amp;IF(G21="","propulsión; ","")&amp;IF(COUNTIF(H21:M21,"Sí")=0,"uso; ","")&amp;IF(OR(N21="",N21="Revisar"),"silla de niños; ","")&amp;IF(O21="","neumáticos; ","")&amp;IF(P21="","terreno; ","")&amp;IF(AND(G21&lt;&gt;"Pedal",Q21=""),"autonomía; ","")&amp;IF(AND(G21&lt;&gt;"Pedal",R21=""),"velocidad; ","")&amp;IF(OR(S21="",S21="Revisar"),"licencia; ","")&amp;IF(T21="","plegable; ","")&amp;IF(U21="","peso; ","")&amp;IF(AND(G21&lt;&gt;"Pedal",V21=""),"carga máx; ","")&amp;IF(AND(ISNUMBER(SEARCH("Bici",F21)),COUNTIF('Altura por modelo'!$A$2:$A$2000,A21)=0),"altura; ","")&amp;IF(COUNTIFS('Altura por modelo'!$A$2:$A$2000,A21,'Altura por modelo'!$E$2:$E$2000,"")+COUNTIFS('Altura por modelo'!$A$2:$A$2000,A21,'Altura por modelo'!$F$2:$F$2000,"")&gt;0,"altura por talle; ","")&amp;IF(AA21&lt;&gt;"Sí","desactivado; ","")</f>
        <v/>
      </c>
      <c r="E21" t="inlineStr">
        <is>
          <t>Bicicletas eléctricas</t>
        </is>
      </c>
      <c r="F21" t="inlineStr">
        <is>
          <t>Bici eléctrica plegable (rodado ancho)</t>
        </is>
      </c>
      <c r="G21" t="inlineStr">
        <is>
          <t>Asistida + acelerador</t>
        </is>
      </c>
      <c r="H21" t="inlineStr">
        <is>
          <t>Sí</t>
        </is>
      </c>
      <c r="I21" t="inlineStr">
        <is>
          <t>Sí</t>
        </is>
      </c>
      <c r="J21" t="inlineStr">
        <is>
          <t>No</t>
        </is>
      </c>
      <c r="K21" t="inlineStr">
        <is>
          <t>No</t>
        </is>
      </c>
      <c r="L21" t="inlineStr">
        <is>
          <t>No</t>
        </is>
      </c>
      <c r="M21" t="inlineStr">
        <is>
          <t>No</t>
        </is>
      </c>
      <c r="N21" s="10" t="inlineStr">
        <is>
          <t>Revisar</t>
        </is>
      </c>
      <c r="O21" t="inlineStr">
        <is>
          <t>Sí</t>
        </is>
      </c>
      <c r="P21" t="inlineStr">
        <is>
          <t>Todo terreno</t>
        </is>
      </c>
      <c r="Q21" s="9" t="n">
        <v>35</v>
      </c>
      <c r="R21" s="9" t="n">
        <v>40</v>
      </c>
      <c r="S21" t="inlineStr">
        <is>
          <t>Revisar</t>
        </is>
      </c>
      <c r="T21" s="9" t="inlineStr">
        <is>
          <t>Sí</t>
        </is>
      </c>
      <c r="W21" t="inlineStr">
        <is>
          <t>No</t>
        </is>
      </c>
      <c r="Y21" t="inlineStr">
        <is>
          <t>Medio</t>
        </is>
      </c>
      <c r="Z21" t="n">
        <v>0</v>
      </c>
      <c r="AA21" t="inlineStr">
        <is>
          <t>Sí</t>
        </is>
      </c>
      <c r="AB21" s="7" t="inlineStr"/>
      <c r="AC21" s="7" t="inlineStr">
        <is>
          <t>Doble suspensión, 20x4.0.</t>
        </is>
      </c>
    </row>
    <row r="22">
      <c r="A22" t="n">
        <v>273267951</v>
      </c>
      <c r="B22" t="inlineStr">
        <is>
          <t>Enduro Pro X</t>
        </is>
      </c>
      <c r="C22" s="8">
        <f>IF(LEN(D22)=0,"SÍ","NO")</f>
        <v/>
      </c>
      <c r="D22" s="7">
        <f>IF(F22="","tipo; ","")&amp;IF(G22="","propulsión; ","")&amp;IF(COUNTIF(H22:M22,"Sí")=0,"uso; ","")&amp;IF(OR(N22="",N22="Revisar"),"silla de niños; ","")&amp;IF(O22="","neumáticos; ","")&amp;IF(P22="","terreno; ","")&amp;IF(AND(G22&lt;&gt;"Pedal",Q22=""),"autonomía; ","")&amp;IF(AND(G22&lt;&gt;"Pedal",R22=""),"velocidad; ","")&amp;IF(OR(S22="",S22="Revisar"),"licencia; ","")&amp;IF(T22="","plegable; ","")&amp;IF(U22="","peso; ","")&amp;IF(AND(G22&lt;&gt;"Pedal",V22=""),"carga máx; ","")&amp;IF(AND(ISNUMBER(SEARCH("Bici",F22)),COUNTIF('Altura por modelo'!$A$2:$A$2000,A22)=0),"altura; ","")&amp;IF(COUNTIFS('Altura por modelo'!$A$2:$A$2000,A22,'Altura por modelo'!$E$2:$E$2000,"")+COUNTIFS('Altura por modelo'!$A$2:$A$2000,A22,'Altura por modelo'!$F$2:$F$2000,"")&gt;0,"altura por talle; ","")&amp;IF(AA22&lt;&gt;"Sí","desactivado; ","")</f>
        <v/>
      </c>
      <c r="E22" t="inlineStr">
        <is>
          <t>Bicicletas eléctricas</t>
        </is>
      </c>
      <c r="F22" t="inlineStr">
        <is>
          <t>Bici eléctrica plegable (rodado ancho)</t>
        </is>
      </c>
      <c r="G22" t="inlineStr">
        <is>
          <t>Asistida + acelerador</t>
        </is>
      </c>
      <c r="H22" t="inlineStr">
        <is>
          <t>Sí</t>
        </is>
      </c>
      <c r="I22" t="inlineStr">
        <is>
          <t>Sí</t>
        </is>
      </c>
      <c r="J22" t="inlineStr">
        <is>
          <t>No</t>
        </is>
      </c>
      <c r="K22" t="inlineStr">
        <is>
          <t>No</t>
        </is>
      </c>
      <c r="L22" t="inlineStr">
        <is>
          <t>No</t>
        </is>
      </c>
      <c r="M22" t="inlineStr">
        <is>
          <t>No</t>
        </is>
      </c>
      <c r="N22" s="10" t="inlineStr">
        <is>
          <t>Revisar</t>
        </is>
      </c>
      <c r="O22" t="inlineStr">
        <is>
          <t>Sí</t>
        </is>
      </c>
      <c r="P22" t="inlineStr">
        <is>
          <t>Todo terreno</t>
        </is>
      </c>
      <c r="Q22" s="9" t="n">
        <v>50</v>
      </c>
      <c r="R22" s="9" t="n">
        <v>40</v>
      </c>
      <c r="S22" t="inlineStr">
        <is>
          <t>Revisar</t>
        </is>
      </c>
      <c r="T22" s="9" t="inlineStr">
        <is>
          <t>Sí</t>
        </is>
      </c>
      <c r="W22" t="inlineStr">
        <is>
          <t>No</t>
        </is>
      </c>
      <c r="Y22" t="inlineStr">
        <is>
          <t>Medio</t>
        </is>
      </c>
      <c r="Z22" t="n">
        <v>0</v>
      </c>
      <c r="AA22" t="inlineStr">
        <is>
          <t>Sí</t>
        </is>
      </c>
      <c r="AB22" s="7" t="inlineStr"/>
      <c r="AC22" s="7" t="inlineStr"/>
    </row>
    <row r="23">
      <c r="A23" t="n">
        <v>291838862</v>
      </c>
      <c r="B23" t="inlineStr">
        <is>
          <t>Rider FT01 - 750W</t>
        </is>
      </c>
      <c r="C23" s="8">
        <f>IF(LEN(D23)=0,"SÍ","NO")</f>
        <v/>
      </c>
      <c r="D23" s="7">
        <f>IF(F23="","tipo; ","")&amp;IF(G23="","propulsión; ","")&amp;IF(COUNTIF(H23:M23,"Sí")=0,"uso; ","")&amp;IF(OR(N23="",N23="Revisar"),"silla de niños; ","")&amp;IF(O23="","neumáticos; ","")&amp;IF(P23="","terreno; ","")&amp;IF(AND(G23&lt;&gt;"Pedal",Q23=""),"autonomía; ","")&amp;IF(AND(G23&lt;&gt;"Pedal",R23=""),"velocidad; ","")&amp;IF(OR(S23="",S23="Revisar"),"licencia; ","")&amp;IF(T23="","plegable; ","")&amp;IF(U23="","peso; ","")&amp;IF(AND(G23&lt;&gt;"Pedal",V23=""),"carga máx; ","")&amp;IF(AND(ISNUMBER(SEARCH("Bici",F23)),COUNTIF('Altura por modelo'!$A$2:$A$2000,A23)=0),"altura; ","")&amp;IF(COUNTIFS('Altura por modelo'!$A$2:$A$2000,A23,'Altura por modelo'!$E$2:$E$2000,"")+COUNTIFS('Altura por modelo'!$A$2:$A$2000,A23,'Altura por modelo'!$F$2:$F$2000,"")&gt;0,"altura por talle; ","")&amp;IF(AA23&lt;&gt;"Sí","desactivado; ","")</f>
        <v/>
      </c>
      <c r="E23" t="inlineStr">
        <is>
          <t>Bicicletas eléctricas</t>
        </is>
      </c>
      <c r="F23" t="inlineStr">
        <is>
          <t>Bici eléctrica tipo moto</t>
        </is>
      </c>
      <c r="G23" t="inlineStr">
        <is>
          <t>Asistida + acelerador</t>
        </is>
      </c>
      <c r="H23" t="inlineStr">
        <is>
          <t>Sí</t>
        </is>
      </c>
      <c r="I23" t="inlineStr">
        <is>
          <t>Sí</t>
        </is>
      </c>
      <c r="J23" t="inlineStr">
        <is>
          <t>No</t>
        </is>
      </c>
      <c r="K23" t="inlineStr">
        <is>
          <t>No</t>
        </is>
      </c>
      <c r="L23" t="inlineStr">
        <is>
          <t>No</t>
        </is>
      </c>
      <c r="M23" t="inlineStr">
        <is>
          <t>No</t>
        </is>
      </c>
      <c r="N23" s="10" t="inlineStr">
        <is>
          <t>Revisar</t>
        </is>
      </c>
      <c r="O23" t="inlineStr">
        <is>
          <t>Sí</t>
        </is>
      </c>
      <c r="P23" t="inlineStr">
        <is>
          <t>Todo terreno</t>
        </is>
      </c>
      <c r="Q23" s="9" t="n">
        <v>70</v>
      </c>
      <c r="R23" s="9" t="n">
        <v>45</v>
      </c>
      <c r="S23" t="inlineStr">
        <is>
          <t>Revisar</t>
        </is>
      </c>
      <c r="T23" t="inlineStr">
        <is>
          <t>No</t>
        </is>
      </c>
      <c r="U23" s="9" t="n">
        <v>49</v>
      </c>
      <c r="V23" s="9" t="n">
        <v>120</v>
      </c>
      <c r="W23" t="inlineStr">
        <is>
          <t>No</t>
        </is>
      </c>
      <c r="Y23" t="inlineStr">
        <is>
          <t>Medio</t>
        </is>
      </c>
      <c r="Z23" t="n">
        <v>0</v>
      </c>
      <c r="AA23" t="inlineStr">
        <is>
          <t>Sí</t>
        </is>
      </c>
      <c r="AB23" s="7" t="inlineStr"/>
      <c r="AC23" s="7" t="inlineStr">
        <is>
          <t>49 kg: no apta para escaleras.</t>
        </is>
      </c>
    </row>
    <row r="24">
      <c r="A24" t="n">
        <v>314027238</v>
      </c>
      <c r="B24" t="inlineStr">
        <is>
          <t>Segway Xyber</t>
        </is>
      </c>
      <c r="C24" s="8">
        <f>IF(LEN(D24)=0,"SÍ","NO")</f>
        <v/>
      </c>
      <c r="D24" s="7">
        <f>IF(F24="","tipo; ","")&amp;IF(G24="","propulsión; ","")&amp;IF(COUNTIF(H24:M24,"Sí")=0,"uso; ","")&amp;IF(OR(N24="",N24="Revisar"),"silla de niños; ","")&amp;IF(O24="","neumáticos; ","")&amp;IF(P24="","terreno; ","")&amp;IF(AND(G24&lt;&gt;"Pedal",Q24=""),"autonomía; ","")&amp;IF(AND(G24&lt;&gt;"Pedal",R24=""),"velocidad; ","")&amp;IF(OR(S24="",S24="Revisar"),"licencia; ","")&amp;IF(T24="","plegable; ","")&amp;IF(U24="","peso; ","")&amp;IF(AND(G24&lt;&gt;"Pedal",V24=""),"carga máx; ","")&amp;IF(AND(ISNUMBER(SEARCH("Bici",F24)),COUNTIF('Altura por modelo'!$A$2:$A$2000,A24)=0),"altura; ","")&amp;IF(COUNTIFS('Altura por modelo'!$A$2:$A$2000,A24,'Altura por modelo'!$E$2:$E$2000,"")+COUNTIFS('Altura por modelo'!$A$2:$A$2000,A24,'Altura por modelo'!$F$2:$F$2000,"")&gt;0,"altura por talle; ","")&amp;IF(AA24&lt;&gt;"Sí","desactivado; ","")</f>
        <v/>
      </c>
      <c r="E24" t="inlineStr">
        <is>
          <t>Bicicletas eléctricas</t>
        </is>
      </c>
      <c r="F24" t="inlineStr">
        <is>
          <t>Bici eléctrica tipo moto</t>
        </is>
      </c>
      <c r="G24" t="inlineStr">
        <is>
          <t>Asistida + acelerador</t>
        </is>
      </c>
      <c r="H24" t="inlineStr">
        <is>
          <t>Sí</t>
        </is>
      </c>
      <c r="I24" t="inlineStr">
        <is>
          <t>Sí</t>
        </is>
      </c>
      <c r="J24" t="inlineStr">
        <is>
          <t>No</t>
        </is>
      </c>
      <c r="K24" t="inlineStr">
        <is>
          <t>No</t>
        </is>
      </c>
      <c r="L24" t="inlineStr">
        <is>
          <t>No</t>
        </is>
      </c>
      <c r="M24" t="inlineStr">
        <is>
          <t>No</t>
        </is>
      </c>
      <c r="N24" s="10" t="inlineStr">
        <is>
          <t>Revisar</t>
        </is>
      </c>
      <c r="O24" t="inlineStr">
        <is>
          <t>Sí</t>
        </is>
      </c>
      <c r="P24" t="inlineStr">
        <is>
          <t>Todo terreno</t>
        </is>
      </c>
      <c r="Q24" s="9" t="n">
        <v>90</v>
      </c>
      <c r="R24" s="9" t="n">
        <v>55</v>
      </c>
      <c r="S24" t="inlineStr">
        <is>
          <t>Revisar</t>
        </is>
      </c>
      <c r="T24" t="inlineStr">
        <is>
          <t>No</t>
        </is>
      </c>
      <c r="U24" s="9" t="n">
        <v>63</v>
      </c>
      <c r="V24" s="9" t="n">
        <v>180</v>
      </c>
      <c r="W24" t="inlineStr">
        <is>
          <t>No</t>
        </is>
      </c>
      <c r="Y24" t="inlineStr">
        <is>
          <t>Alto</t>
        </is>
      </c>
      <c r="Z24" t="n">
        <v>0</v>
      </c>
      <c r="AA24" t="inlineStr">
        <is>
          <t>Sí</t>
        </is>
      </c>
      <c r="AB24" s="7" t="inlineStr"/>
      <c r="AC24" s="7" t="inlineStr"/>
    </row>
    <row r="25">
      <c r="A25" t="n">
        <v>314180547</v>
      </c>
      <c r="B25" t="inlineStr">
        <is>
          <t>Chopper FT02</t>
        </is>
      </c>
      <c r="C25" s="8">
        <f>IF(LEN(D25)=0,"SÍ","NO")</f>
        <v/>
      </c>
      <c r="D25" s="7">
        <f>IF(F25="","tipo; ","")&amp;IF(G25="","propulsión; ","")&amp;IF(COUNTIF(H25:M25,"Sí")=0,"uso; ","")&amp;IF(OR(N25="",N25="Revisar"),"silla de niños; ","")&amp;IF(O25="","neumáticos; ","")&amp;IF(P25="","terreno; ","")&amp;IF(AND(G25&lt;&gt;"Pedal",Q25=""),"autonomía; ","")&amp;IF(AND(G25&lt;&gt;"Pedal",R25=""),"velocidad; ","")&amp;IF(OR(S25="",S25="Revisar"),"licencia; ","")&amp;IF(T25="","plegable; ","")&amp;IF(U25="","peso; ","")&amp;IF(AND(G25&lt;&gt;"Pedal",V25=""),"carga máx; ","")&amp;IF(AND(ISNUMBER(SEARCH("Bici",F25)),COUNTIF('Altura por modelo'!$A$2:$A$2000,A25)=0),"altura; ","")&amp;IF(COUNTIFS('Altura por modelo'!$A$2:$A$2000,A25,'Altura por modelo'!$E$2:$E$2000,"")+COUNTIFS('Altura por modelo'!$A$2:$A$2000,A25,'Altura por modelo'!$F$2:$F$2000,"")&gt;0,"altura por talle; ","")&amp;IF(AA25&lt;&gt;"Sí","desactivado; ","")</f>
        <v/>
      </c>
      <c r="E25" t="inlineStr">
        <is>
          <t>Bicicletas eléctricas</t>
        </is>
      </c>
      <c r="F25" t="inlineStr">
        <is>
          <t>Bici eléctrica tipo moto</t>
        </is>
      </c>
      <c r="G25" t="inlineStr">
        <is>
          <t>Asistida + acelerador</t>
        </is>
      </c>
      <c r="H25" t="inlineStr">
        <is>
          <t>Sí</t>
        </is>
      </c>
      <c r="I25" t="inlineStr">
        <is>
          <t>Sí</t>
        </is>
      </c>
      <c r="J25" t="inlineStr">
        <is>
          <t>No</t>
        </is>
      </c>
      <c r="K25" t="inlineStr">
        <is>
          <t>No</t>
        </is>
      </c>
      <c r="L25" t="inlineStr">
        <is>
          <t>No</t>
        </is>
      </c>
      <c r="M25" t="inlineStr">
        <is>
          <t>No</t>
        </is>
      </c>
      <c r="N25" s="10" t="inlineStr">
        <is>
          <t>Revisar</t>
        </is>
      </c>
      <c r="O25" t="inlineStr">
        <is>
          <t>Sí</t>
        </is>
      </c>
      <c r="P25" t="inlineStr">
        <is>
          <t>Todo terreno</t>
        </is>
      </c>
      <c r="Q25" s="9" t="n">
        <v>75</v>
      </c>
      <c r="R25" s="9" t="n">
        <v>60</v>
      </c>
      <c r="S25" s="9" t="inlineStr">
        <is>
          <t>No</t>
        </is>
      </c>
      <c r="T25" t="inlineStr">
        <is>
          <t>No</t>
        </is>
      </c>
      <c r="V25" s="9" t="n">
        <v>120</v>
      </c>
      <c r="W25" t="inlineStr">
        <is>
          <t>No</t>
        </is>
      </c>
      <c r="Y25" t="inlineStr">
        <is>
          <t>Medio</t>
        </is>
      </c>
      <c r="Z25" t="n">
        <v>0</v>
      </c>
      <c r="AA25" t="inlineStr">
        <is>
          <t>Sí</t>
        </is>
      </c>
      <c r="AB25" s="7" t="inlineStr">
        <is>
          <t>Anda como una moto, pero sin patente ni licencia.</t>
        </is>
      </c>
      <c r="AC25" s="7" t="inlineStr"/>
    </row>
    <row r="26">
      <c r="A26" t="n">
        <v>321841921</v>
      </c>
      <c r="B26" t="inlineStr">
        <is>
          <t>Vecocraft Foldy-E Einhell</t>
        </is>
      </c>
      <c r="C26" s="8">
        <f>IF(LEN(D26)=0,"SÍ","NO")</f>
        <v/>
      </c>
      <c r="D26" s="7">
        <f>IF(F26="","tipo; ","")&amp;IF(G26="","propulsión; ","")&amp;IF(COUNTIF(H26:M26,"Sí")=0,"uso; ","")&amp;IF(OR(N26="",N26="Revisar"),"silla de niños; ","")&amp;IF(O26="","neumáticos; ","")&amp;IF(P26="","terreno; ","")&amp;IF(AND(G26&lt;&gt;"Pedal",Q26=""),"autonomía; ","")&amp;IF(AND(G26&lt;&gt;"Pedal",R26=""),"velocidad; ","")&amp;IF(OR(S26="",S26="Revisar"),"licencia; ","")&amp;IF(T26="","plegable; ","")&amp;IF(U26="","peso; ","")&amp;IF(AND(G26&lt;&gt;"Pedal",V26=""),"carga máx; ","")&amp;IF(AND(ISNUMBER(SEARCH("Bici",F26)),COUNTIF('Altura por modelo'!$A$2:$A$2000,A26)=0),"altura; ","")&amp;IF(COUNTIFS('Altura por modelo'!$A$2:$A$2000,A26,'Altura por modelo'!$E$2:$E$2000,"")+COUNTIFS('Altura por modelo'!$A$2:$A$2000,A26,'Altura por modelo'!$F$2:$F$2000,"")&gt;0,"altura por talle; ","")&amp;IF(AA26&lt;&gt;"Sí","desactivado; ","")</f>
        <v/>
      </c>
      <c r="E26" t="inlineStr">
        <is>
          <t>Bicicletas eléctricas</t>
        </is>
      </c>
      <c r="F26" t="inlineStr">
        <is>
          <t>Bici eléctrica plegable</t>
        </is>
      </c>
      <c r="G26" t="inlineStr">
        <is>
          <t>Asistida</t>
        </is>
      </c>
      <c r="H26" t="inlineStr">
        <is>
          <t>Sí</t>
        </is>
      </c>
      <c r="I26" t="inlineStr">
        <is>
          <t>No</t>
        </is>
      </c>
      <c r="J26" t="inlineStr">
        <is>
          <t>No</t>
        </is>
      </c>
      <c r="K26" t="inlineStr">
        <is>
          <t>No</t>
        </is>
      </c>
      <c r="L26" t="inlineStr">
        <is>
          <t>No</t>
        </is>
      </c>
      <c r="M26" t="inlineStr">
        <is>
          <t>No</t>
        </is>
      </c>
      <c r="N26" s="10" t="inlineStr">
        <is>
          <t>Revisar</t>
        </is>
      </c>
      <c r="O26" t="inlineStr">
        <is>
          <t>Sí</t>
        </is>
      </c>
      <c r="P26" t="inlineStr">
        <is>
          <t>Asfalto</t>
        </is>
      </c>
      <c r="Q26" s="9" t="n">
        <v>30</v>
      </c>
      <c r="R26" s="9" t="n">
        <v>25</v>
      </c>
      <c r="S26" t="inlineStr">
        <is>
          <t>No</t>
        </is>
      </c>
      <c r="T26" s="9" t="inlineStr">
        <is>
          <t>Sí</t>
        </is>
      </c>
      <c r="W26" t="inlineStr">
        <is>
          <t>No</t>
        </is>
      </c>
      <c r="Y26" t="inlineStr">
        <is>
          <t>Entrada</t>
        </is>
      </c>
      <c r="Z26" t="n">
        <v>0</v>
      </c>
      <c r="AA26" t="inlineStr">
        <is>
          <t>Sí</t>
        </is>
      </c>
      <c r="AB26" s="7" t="inlineStr">
        <is>
          <t>Usa baterías de herramientas Einhell: repuesto barato y fácil.</t>
        </is>
      </c>
      <c r="AC26" s="7" t="inlineStr"/>
    </row>
    <row r="27">
      <c r="A27" t="n">
        <v>338519904</v>
      </c>
      <c r="B27" t="inlineStr">
        <is>
          <t>Rider FT01 - 1000W</t>
        </is>
      </c>
      <c r="C27" s="8">
        <f>IF(LEN(D27)=0,"SÍ","NO")</f>
        <v/>
      </c>
      <c r="D27" s="7">
        <f>IF(F27="","tipo; ","")&amp;IF(G27="","propulsión; ","")&amp;IF(COUNTIF(H27:M27,"Sí")=0,"uso; ","")&amp;IF(OR(N27="",N27="Revisar"),"silla de niños; ","")&amp;IF(O27="","neumáticos; ","")&amp;IF(P27="","terreno; ","")&amp;IF(AND(G27&lt;&gt;"Pedal",Q27=""),"autonomía; ","")&amp;IF(AND(G27&lt;&gt;"Pedal",R27=""),"velocidad; ","")&amp;IF(OR(S27="",S27="Revisar"),"licencia; ","")&amp;IF(T27="","plegable; ","")&amp;IF(U27="","peso; ","")&amp;IF(AND(G27&lt;&gt;"Pedal",V27=""),"carga máx; ","")&amp;IF(AND(ISNUMBER(SEARCH("Bici",F27)),COUNTIF('Altura por modelo'!$A$2:$A$2000,A27)=0),"altura; ","")&amp;IF(COUNTIFS('Altura por modelo'!$A$2:$A$2000,A27,'Altura por modelo'!$E$2:$E$2000,"")+COUNTIFS('Altura por modelo'!$A$2:$A$2000,A27,'Altura por modelo'!$F$2:$F$2000,"")&gt;0,"altura por talle; ","")&amp;IF(AA27&lt;&gt;"Sí","desactivado; ","")</f>
        <v/>
      </c>
      <c r="E27" t="inlineStr">
        <is>
          <t>Bicicletas eléctricas</t>
        </is>
      </c>
      <c r="F27" t="inlineStr">
        <is>
          <t>Bici eléctrica tipo moto</t>
        </is>
      </c>
      <c r="G27" t="inlineStr">
        <is>
          <t>Asistida + acelerador</t>
        </is>
      </c>
      <c r="H27" t="inlineStr">
        <is>
          <t>Sí</t>
        </is>
      </c>
      <c r="I27" t="inlineStr">
        <is>
          <t>Sí</t>
        </is>
      </c>
      <c r="J27" t="inlineStr">
        <is>
          <t>No</t>
        </is>
      </c>
      <c r="K27" t="inlineStr">
        <is>
          <t>No</t>
        </is>
      </c>
      <c r="L27" t="inlineStr">
        <is>
          <t>No</t>
        </is>
      </c>
      <c r="M27" t="inlineStr">
        <is>
          <t>No</t>
        </is>
      </c>
      <c r="N27" s="10" t="inlineStr">
        <is>
          <t>Revisar</t>
        </is>
      </c>
      <c r="O27" t="inlineStr">
        <is>
          <t>Sí</t>
        </is>
      </c>
      <c r="P27" t="inlineStr">
        <is>
          <t>Todo terreno</t>
        </is>
      </c>
      <c r="Q27" s="9" t="n">
        <v>70</v>
      </c>
      <c r="R27" s="9" t="n">
        <v>45</v>
      </c>
      <c r="S27" t="inlineStr">
        <is>
          <t>Revisar</t>
        </is>
      </c>
      <c r="T27" t="inlineStr">
        <is>
          <t>No</t>
        </is>
      </c>
      <c r="U27" s="9" t="n">
        <v>49</v>
      </c>
      <c r="V27" s="9" t="n">
        <v>120</v>
      </c>
      <c r="W27" t="inlineStr">
        <is>
          <t>No</t>
        </is>
      </c>
      <c r="Y27" t="inlineStr">
        <is>
          <t>Medio</t>
        </is>
      </c>
      <c r="Z27" t="n">
        <v>0</v>
      </c>
      <c r="AA27" t="inlineStr">
        <is>
          <t>Sí</t>
        </is>
      </c>
      <c r="AB27" s="7" t="inlineStr"/>
      <c r="AC27" s="7" t="inlineStr"/>
    </row>
    <row r="28">
      <c r="A28" t="n">
        <v>339104476</v>
      </c>
      <c r="B28" t="inlineStr">
        <is>
          <t>HTK 1000M</t>
        </is>
      </c>
      <c r="C28" s="8">
        <f>IF(LEN(D28)=0,"SÍ","NO")</f>
        <v/>
      </c>
      <c r="D28" s="7">
        <f>IF(F28="","tipo; ","")&amp;IF(G28="","propulsión; ","")&amp;IF(COUNTIF(H28:M28,"Sí")=0,"uso; ","")&amp;IF(OR(N28="",N28="Revisar"),"silla de niños; ","")&amp;IF(O28="","neumáticos; ","")&amp;IF(P28="","terreno; ","")&amp;IF(AND(G28&lt;&gt;"Pedal",Q28=""),"autonomía; ","")&amp;IF(AND(G28&lt;&gt;"Pedal",R28=""),"velocidad; ","")&amp;IF(OR(S28="",S28="Revisar"),"licencia; ","")&amp;IF(T28="","plegable; ","")&amp;IF(U28="","peso; ","")&amp;IF(AND(G28&lt;&gt;"Pedal",V28=""),"carga máx; ","")&amp;IF(AND(ISNUMBER(SEARCH("Bici",F28)),COUNTIF('Altura por modelo'!$A$2:$A$2000,A28)=0),"altura; ","")&amp;IF(COUNTIFS('Altura por modelo'!$A$2:$A$2000,A28,'Altura por modelo'!$E$2:$E$2000,"")+COUNTIFS('Altura por modelo'!$A$2:$A$2000,A28,'Altura por modelo'!$F$2:$F$2000,"")&gt;0,"altura por talle; ","")&amp;IF(AA28&lt;&gt;"Sí","desactivado; ","")</f>
        <v/>
      </c>
      <c r="E28" t="inlineStr">
        <is>
          <t>Bicicletas eléctricas</t>
        </is>
      </c>
      <c r="F28" t="inlineStr">
        <is>
          <t>Bici eléctrica urbana</t>
        </is>
      </c>
      <c r="G28" t="inlineStr">
        <is>
          <t>Asistida</t>
        </is>
      </c>
      <c r="H28" t="inlineStr">
        <is>
          <t>Sí</t>
        </is>
      </c>
      <c r="I28" t="inlineStr">
        <is>
          <t>No</t>
        </is>
      </c>
      <c r="J28" t="inlineStr">
        <is>
          <t>No</t>
        </is>
      </c>
      <c r="K28" t="inlineStr">
        <is>
          <t>No</t>
        </is>
      </c>
      <c r="L28" t="inlineStr">
        <is>
          <t>No</t>
        </is>
      </c>
      <c r="M28" t="inlineStr">
        <is>
          <t>No</t>
        </is>
      </c>
      <c r="N28" s="10" t="inlineStr">
        <is>
          <t>Revisar</t>
        </is>
      </c>
      <c r="O28" t="inlineStr">
        <is>
          <t>Sí</t>
        </is>
      </c>
      <c r="P28" t="inlineStr">
        <is>
          <t>Asfalto</t>
        </is>
      </c>
      <c r="S28" t="inlineStr">
        <is>
          <t>No</t>
        </is>
      </c>
      <c r="T28" t="inlineStr">
        <is>
          <t>No</t>
        </is>
      </c>
      <c r="U28" s="9" t="n">
        <v>23</v>
      </c>
      <c r="W28" t="inlineStr">
        <is>
          <t>No</t>
        </is>
      </c>
      <c r="Y28" t="inlineStr">
        <is>
          <t>Entrada</t>
        </is>
      </c>
      <c r="Z28" t="n">
        <v>0</v>
      </c>
      <c r="AA28" t="inlineStr">
        <is>
          <t>Sí</t>
        </is>
      </c>
      <c r="AB28" s="7" t="inlineStr"/>
      <c r="AC28" s="7" t="inlineStr">
        <is>
          <t>Ficha incompleta: completar autonomía y velocidad.</t>
        </is>
      </c>
    </row>
    <row r="29">
      <c r="A29" t="n">
        <v>347573632</v>
      </c>
      <c r="B29" t="inlineStr">
        <is>
          <t>Ponyboy</t>
        </is>
      </c>
      <c r="C29" s="8">
        <f>IF(LEN(D29)=0,"SÍ","NO")</f>
        <v/>
      </c>
      <c r="D29" s="7">
        <f>IF(F29="","tipo; ","")&amp;IF(G29="","propulsión; ","")&amp;IF(COUNTIF(H29:M29,"Sí")=0,"uso; ","")&amp;IF(OR(N29="",N29="Revisar"),"silla de niños; ","")&amp;IF(O29="","neumáticos; ","")&amp;IF(P29="","terreno; ","")&amp;IF(AND(G29&lt;&gt;"Pedal",Q29=""),"autonomía; ","")&amp;IF(AND(G29&lt;&gt;"Pedal",R29=""),"velocidad; ","")&amp;IF(OR(S29="",S29="Revisar"),"licencia; ","")&amp;IF(T29="","plegable; ","")&amp;IF(U29="","peso; ","")&amp;IF(AND(G29&lt;&gt;"Pedal",V29=""),"carga máx; ","")&amp;IF(AND(ISNUMBER(SEARCH("Bici",F29)),COUNTIF('Altura por modelo'!$A$2:$A$2000,A29)=0),"altura; ","")&amp;IF(COUNTIFS('Altura por modelo'!$A$2:$A$2000,A29,'Altura por modelo'!$E$2:$E$2000,"")+COUNTIFS('Altura por modelo'!$A$2:$A$2000,A29,'Altura por modelo'!$F$2:$F$2000,"")&gt;0,"altura por talle; ","")&amp;IF(AA29&lt;&gt;"Sí","desactivado; ","")</f>
        <v/>
      </c>
      <c r="E29" t="inlineStr">
        <is>
          <t>Bicicletas eléctricas</t>
        </is>
      </c>
      <c r="F29" t="inlineStr">
        <is>
          <t>Bici eléctrica tipo moto</t>
        </is>
      </c>
      <c r="G29" t="inlineStr">
        <is>
          <t>Asistida</t>
        </is>
      </c>
      <c r="H29" t="inlineStr">
        <is>
          <t>Sí</t>
        </is>
      </c>
      <c r="I29" t="inlineStr">
        <is>
          <t>Sí</t>
        </is>
      </c>
      <c r="J29" t="inlineStr">
        <is>
          <t>No</t>
        </is>
      </c>
      <c r="K29" t="inlineStr">
        <is>
          <t>No</t>
        </is>
      </c>
      <c r="L29" t="inlineStr">
        <is>
          <t>No</t>
        </is>
      </c>
      <c r="M29" t="inlineStr">
        <is>
          <t>No</t>
        </is>
      </c>
      <c r="N29" s="10" t="inlineStr">
        <is>
          <t>Revisar</t>
        </is>
      </c>
      <c r="O29" t="inlineStr">
        <is>
          <t>Sí</t>
        </is>
      </c>
      <c r="P29" t="inlineStr">
        <is>
          <t>Asfalto y mixto</t>
        </is>
      </c>
      <c r="S29" t="inlineStr">
        <is>
          <t>Revisar</t>
        </is>
      </c>
      <c r="T29" t="inlineStr">
        <is>
          <t>No</t>
        </is>
      </c>
      <c r="W29" t="inlineStr">
        <is>
          <t>No</t>
        </is>
      </c>
      <c r="Y29" t="inlineStr">
        <is>
          <t>Medio</t>
        </is>
      </c>
      <c r="Z29" t="n">
        <v>0</v>
      </c>
      <c r="AA29" t="inlineStr">
        <is>
          <t>Sí</t>
        </is>
      </c>
      <c r="AB29" s="7" t="inlineStr"/>
      <c r="AC29" s="7" t="inlineStr">
        <is>
          <t>Ficha incompleta: completar autonomía, velocidad, peso.</t>
        </is>
      </c>
    </row>
    <row r="30">
      <c r="A30" t="n">
        <v>349261766</v>
      </c>
      <c r="B30" t="inlineStr">
        <is>
          <t>E-Krabi</t>
        </is>
      </c>
      <c r="C30" s="8">
        <f>IF(LEN(D30)=0,"SÍ","NO")</f>
        <v/>
      </c>
      <c r="D30" s="7">
        <f>IF(F30="","tipo; ","")&amp;IF(G30="","propulsión; ","")&amp;IF(COUNTIF(H30:M30,"Sí")=0,"uso; ","")&amp;IF(OR(N30="",N30="Revisar"),"silla de niños; ","")&amp;IF(O30="","neumáticos; ","")&amp;IF(P30="","terreno; ","")&amp;IF(AND(G30&lt;&gt;"Pedal",Q30=""),"autonomía; ","")&amp;IF(AND(G30&lt;&gt;"Pedal",R30=""),"velocidad; ","")&amp;IF(OR(S30="",S30="Revisar"),"licencia; ","")&amp;IF(T30="","plegable; ","")&amp;IF(U30="","peso; ","")&amp;IF(AND(G30&lt;&gt;"Pedal",V30=""),"carga máx; ","")&amp;IF(AND(ISNUMBER(SEARCH("Bici",F30)),COUNTIF('Altura por modelo'!$A$2:$A$2000,A30)=0),"altura; ","")&amp;IF(COUNTIFS('Altura por modelo'!$A$2:$A$2000,A30,'Altura por modelo'!$E$2:$E$2000,"")+COUNTIFS('Altura por modelo'!$A$2:$A$2000,A30,'Altura por modelo'!$F$2:$F$2000,"")&gt;0,"altura por talle; ","")&amp;IF(AA30&lt;&gt;"Sí","desactivado; ","")</f>
        <v/>
      </c>
      <c r="E30" t="inlineStr">
        <is>
          <t>Bicicletas eléctricas</t>
        </is>
      </c>
      <c r="F30" t="inlineStr">
        <is>
          <t>Bici eléctrica plegable</t>
        </is>
      </c>
      <c r="G30" t="inlineStr">
        <is>
          <t>Asistida</t>
        </is>
      </c>
      <c r="H30" t="inlineStr">
        <is>
          <t>Sí</t>
        </is>
      </c>
      <c r="I30" t="inlineStr">
        <is>
          <t>Sí</t>
        </is>
      </c>
      <c r="J30" t="inlineStr">
        <is>
          <t>No</t>
        </is>
      </c>
      <c r="K30" t="inlineStr">
        <is>
          <t>No</t>
        </is>
      </c>
      <c r="L30" t="inlineStr">
        <is>
          <t>No</t>
        </is>
      </c>
      <c r="M30" t="inlineStr">
        <is>
          <t>No</t>
        </is>
      </c>
      <c r="N30" s="10" t="inlineStr">
        <is>
          <t>Revisar</t>
        </is>
      </c>
      <c r="O30" t="inlineStr">
        <is>
          <t>Sí</t>
        </is>
      </c>
      <c r="P30" t="inlineStr">
        <is>
          <t>Asfalto</t>
        </is>
      </c>
      <c r="Q30" s="9" t="n">
        <v>100</v>
      </c>
      <c r="R30" s="9" t="n">
        <v>24</v>
      </c>
      <c r="S30" t="inlineStr">
        <is>
          <t>No</t>
        </is>
      </c>
      <c r="T30" s="9" t="inlineStr">
        <is>
          <t>Sí</t>
        </is>
      </c>
      <c r="U30" s="9" t="n">
        <v>21.4</v>
      </c>
      <c r="V30" s="9" t="n">
        <v>120</v>
      </c>
      <c r="W30" t="inlineStr">
        <is>
          <t>No</t>
        </is>
      </c>
      <c r="Y30" t="inlineStr">
        <is>
          <t>Medio</t>
        </is>
      </c>
      <c r="Z30" t="n">
        <v>0</v>
      </c>
      <c r="AA30" t="inlineStr">
        <is>
          <t>Sí</t>
        </is>
      </c>
      <c r="AB30" s="7" t="inlineStr"/>
      <c r="AC30" s="7" t="inlineStr"/>
    </row>
    <row r="31">
      <c r="A31" t="n">
        <v>349261769</v>
      </c>
      <c r="B31" t="inlineStr">
        <is>
          <t>E-GOA</t>
        </is>
      </c>
      <c r="C31" s="8">
        <f>IF(LEN(D31)=0,"SÍ","NO")</f>
        <v/>
      </c>
      <c r="D31" s="7">
        <f>IF(F31="","tipo; ","")&amp;IF(G31="","propulsión; ","")&amp;IF(COUNTIF(H31:M31,"Sí")=0,"uso; ","")&amp;IF(OR(N31="",N31="Revisar"),"silla de niños; ","")&amp;IF(O31="","neumáticos; ","")&amp;IF(P31="","terreno; ","")&amp;IF(AND(G31&lt;&gt;"Pedal",Q31=""),"autonomía; ","")&amp;IF(AND(G31&lt;&gt;"Pedal",R31=""),"velocidad; ","")&amp;IF(OR(S31="",S31="Revisar"),"licencia; ","")&amp;IF(T31="","plegable; ","")&amp;IF(U31="","peso; ","")&amp;IF(AND(G31&lt;&gt;"Pedal",V31=""),"carga máx; ","")&amp;IF(AND(ISNUMBER(SEARCH("Bici",F31)),COUNTIF('Altura por modelo'!$A$2:$A$2000,A31)=0),"altura; ","")&amp;IF(COUNTIFS('Altura por modelo'!$A$2:$A$2000,A31,'Altura por modelo'!$E$2:$E$2000,"")+COUNTIFS('Altura por modelo'!$A$2:$A$2000,A31,'Altura por modelo'!$F$2:$F$2000,"")&gt;0,"altura por talle; ","")&amp;IF(AA31&lt;&gt;"Sí","desactivado; ","")</f>
        <v/>
      </c>
      <c r="E31" t="inlineStr">
        <is>
          <t>Bicicletas eléctricas</t>
        </is>
      </c>
      <c r="F31" t="inlineStr">
        <is>
          <t>Bici eléctrica plegable</t>
        </is>
      </c>
      <c r="G31" t="inlineStr">
        <is>
          <t>Asistida</t>
        </is>
      </c>
      <c r="H31" t="inlineStr">
        <is>
          <t>Sí</t>
        </is>
      </c>
      <c r="I31" t="inlineStr">
        <is>
          <t>No</t>
        </is>
      </c>
      <c r="J31" t="inlineStr">
        <is>
          <t>No</t>
        </is>
      </c>
      <c r="K31" t="inlineStr">
        <is>
          <t>No</t>
        </is>
      </c>
      <c r="L31" t="inlineStr">
        <is>
          <t>No</t>
        </is>
      </c>
      <c r="M31" t="inlineStr">
        <is>
          <t>No</t>
        </is>
      </c>
      <c r="N31" s="10" t="inlineStr">
        <is>
          <t>Revisar</t>
        </is>
      </c>
      <c r="O31" t="inlineStr">
        <is>
          <t>Sí</t>
        </is>
      </c>
      <c r="P31" t="inlineStr">
        <is>
          <t>Asfalto</t>
        </is>
      </c>
      <c r="Q31" s="9" t="n">
        <v>60</v>
      </c>
      <c r="R31" s="9" t="n">
        <v>24</v>
      </c>
      <c r="S31" t="inlineStr">
        <is>
          <t>No</t>
        </is>
      </c>
      <c r="T31" s="9" t="inlineStr">
        <is>
          <t>Sí</t>
        </is>
      </c>
      <c r="U31" s="9" t="n">
        <v>19</v>
      </c>
      <c r="V31" s="9" t="n">
        <v>100</v>
      </c>
      <c r="W31" t="inlineStr">
        <is>
          <t>No</t>
        </is>
      </c>
      <c r="Y31" t="inlineStr">
        <is>
          <t>Medio</t>
        </is>
      </c>
      <c r="Z31" t="n">
        <v>0</v>
      </c>
      <c r="AA31" t="inlineStr">
        <is>
          <t>Sí</t>
        </is>
      </c>
      <c r="AB31" s="7" t="inlineStr"/>
      <c r="AC31" s="7" t="inlineStr"/>
    </row>
    <row r="32">
      <c r="A32" t="n">
        <v>349261777</v>
      </c>
      <c r="B32" t="inlineStr">
        <is>
          <t>E-Easy Fat</t>
        </is>
      </c>
      <c r="C32" s="8">
        <f>IF(LEN(D32)=0,"SÍ","NO")</f>
        <v/>
      </c>
      <c r="D32" s="7">
        <f>IF(F32="","tipo; ","")&amp;IF(G32="","propulsión; ","")&amp;IF(COUNTIF(H32:M32,"Sí")=0,"uso; ","")&amp;IF(OR(N32="",N32="Revisar"),"silla de niños; ","")&amp;IF(O32="","neumáticos; ","")&amp;IF(P32="","terreno; ","")&amp;IF(AND(G32&lt;&gt;"Pedal",Q32=""),"autonomía; ","")&amp;IF(AND(G32&lt;&gt;"Pedal",R32=""),"velocidad; ","")&amp;IF(OR(S32="",S32="Revisar"),"licencia; ","")&amp;IF(T32="","plegable; ","")&amp;IF(U32="","peso; ","")&amp;IF(AND(G32&lt;&gt;"Pedal",V32=""),"carga máx; ","")&amp;IF(AND(ISNUMBER(SEARCH("Bici",F32)),COUNTIF('Altura por modelo'!$A$2:$A$2000,A32)=0),"altura; ","")&amp;IF(COUNTIFS('Altura por modelo'!$A$2:$A$2000,A32,'Altura por modelo'!$E$2:$E$2000,"")+COUNTIFS('Altura por modelo'!$A$2:$A$2000,A32,'Altura por modelo'!$F$2:$F$2000,"")&gt;0,"altura por talle; ","")&amp;IF(AA32&lt;&gt;"Sí","desactivado; ","")</f>
        <v/>
      </c>
      <c r="E32" t="inlineStr">
        <is>
          <t>Bicicletas eléctricas</t>
        </is>
      </c>
      <c r="F32" t="inlineStr">
        <is>
          <t>Bici eléctrica plegable (rodado ancho)</t>
        </is>
      </c>
      <c r="G32" t="inlineStr">
        <is>
          <t>Asistida</t>
        </is>
      </c>
      <c r="H32" t="inlineStr">
        <is>
          <t>Sí</t>
        </is>
      </c>
      <c r="I32" t="inlineStr">
        <is>
          <t>Sí</t>
        </is>
      </c>
      <c r="J32" t="inlineStr">
        <is>
          <t>No</t>
        </is>
      </c>
      <c r="K32" t="inlineStr">
        <is>
          <t>No</t>
        </is>
      </c>
      <c r="L32" t="inlineStr">
        <is>
          <t>No</t>
        </is>
      </c>
      <c r="M32" t="inlineStr">
        <is>
          <t>No</t>
        </is>
      </c>
      <c r="N32" s="10" t="inlineStr">
        <is>
          <t>Revisar</t>
        </is>
      </c>
      <c r="O32" t="inlineStr">
        <is>
          <t>Sí</t>
        </is>
      </c>
      <c r="P32" t="inlineStr">
        <is>
          <t>Todo terreno</t>
        </is>
      </c>
      <c r="Q32" s="9" t="n">
        <v>100</v>
      </c>
      <c r="R32" s="9" t="n">
        <v>24</v>
      </c>
      <c r="S32" t="inlineStr">
        <is>
          <t>No</t>
        </is>
      </c>
      <c r="T32" s="9" t="inlineStr">
        <is>
          <t>Sí</t>
        </is>
      </c>
      <c r="U32" s="9" t="n">
        <v>21.8</v>
      </c>
      <c r="V32" s="9" t="n">
        <v>120</v>
      </c>
      <c r="W32" t="inlineStr">
        <is>
          <t>No</t>
        </is>
      </c>
      <c r="Y32" t="inlineStr">
        <is>
          <t>Medio</t>
        </is>
      </c>
      <c r="Z32" t="n">
        <v>0</v>
      </c>
      <c r="AA32" t="inlineStr">
        <is>
          <t>Sí</t>
        </is>
      </c>
      <c r="AB32" s="7" t="inlineStr"/>
      <c r="AC32" s="7" t="inlineStr"/>
    </row>
    <row r="33">
      <c r="A33" t="n">
        <v>350943156</v>
      </c>
      <c r="B33" t="inlineStr">
        <is>
          <t>Apine Trail E Shimano</t>
        </is>
      </c>
      <c r="C33" s="8">
        <f>IF(LEN(D33)=0,"SÍ","NO")</f>
        <v/>
      </c>
      <c r="D33" s="7">
        <f>IF(F33="","tipo; ","")&amp;IF(G33="","propulsión; ","")&amp;IF(COUNTIF(H33:M33,"Sí")=0,"uso; ","")&amp;IF(OR(N33="",N33="Revisar"),"silla de niños; ","")&amp;IF(O33="","neumáticos; ","")&amp;IF(P33="","terreno; ","")&amp;IF(AND(G33&lt;&gt;"Pedal",Q33=""),"autonomía; ","")&amp;IF(AND(G33&lt;&gt;"Pedal",R33=""),"velocidad; ","")&amp;IF(OR(S33="",S33="Revisar"),"licencia; ","")&amp;IF(T33="","plegable; ","")&amp;IF(U33="","peso; ","")&amp;IF(AND(G33&lt;&gt;"Pedal",V33=""),"carga máx; ","")&amp;IF(AND(ISNUMBER(SEARCH("Bici",F33)),COUNTIF('Altura por modelo'!$A$2:$A$2000,A33)=0),"altura; ","")&amp;IF(COUNTIFS('Altura por modelo'!$A$2:$A$2000,A33,'Altura por modelo'!$E$2:$E$2000,"")+COUNTIFS('Altura por modelo'!$A$2:$A$2000,A33,'Altura por modelo'!$F$2:$F$2000,"")&gt;0,"altura por talle; ","")&amp;IF(AA33&lt;&gt;"Sí","desactivado; ","")</f>
        <v/>
      </c>
      <c r="E33" t="inlineStr">
        <is>
          <t>Bicicletas eléctricas</t>
        </is>
      </c>
      <c r="F33" t="inlineStr">
        <is>
          <t>Bici eléctrica de montaña (eMTB)</t>
        </is>
      </c>
      <c r="G33" t="inlineStr">
        <is>
          <t>Asistida</t>
        </is>
      </c>
      <c r="H33" t="inlineStr">
        <is>
          <t>No</t>
        </is>
      </c>
      <c r="I33" t="inlineStr">
        <is>
          <t>No</t>
        </is>
      </c>
      <c r="J33" t="inlineStr">
        <is>
          <t>Sí</t>
        </is>
      </c>
      <c r="K33" t="inlineStr">
        <is>
          <t>No</t>
        </is>
      </c>
      <c r="L33" t="inlineStr">
        <is>
          <t>No</t>
        </is>
      </c>
      <c r="M33" t="inlineStr">
        <is>
          <t>No</t>
        </is>
      </c>
      <c r="N33" s="10" t="inlineStr">
        <is>
          <t>Revisar</t>
        </is>
      </c>
      <c r="O33" t="inlineStr">
        <is>
          <t>Sí</t>
        </is>
      </c>
      <c r="P33" t="inlineStr">
        <is>
          <t>Mixto y tierra</t>
        </is>
      </c>
      <c r="Q33" s="9" t="n">
        <v>70</v>
      </c>
      <c r="R33" s="10" t="n">
        <v>25</v>
      </c>
      <c r="S33" t="inlineStr">
        <is>
          <t>No</t>
        </is>
      </c>
      <c r="T33" t="inlineStr">
        <is>
          <t>No</t>
        </is>
      </c>
      <c r="W33" t="inlineStr">
        <is>
          <t>Sí</t>
        </is>
      </c>
      <c r="Y33" t="inlineStr">
        <is>
          <t>Alto</t>
        </is>
      </c>
      <c r="Z33" t="n">
        <v>0</v>
      </c>
      <c r="AA33" t="inlineStr">
        <is>
          <t>Sí</t>
        </is>
      </c>
      <c r="AB33" s="7" t="inlineStr"/>
      <c r="AC33" s="7" t="inlineStr">
        <is>
          <t>Autonomía 25–70 km. Nombre en TN con typo ('Apine').</t>
        </is>
      </c>
    </row>
    <row r="34">
      <c r="A34" t="n">
        <v>354117181</v>
      </c>
      <c r="B34" t="inlineStr">
        <is>
          <t>Rift Zone E2 SHIMANO (2024)</t>
        </is>
      </c>
      <c r="C34" s="8">
        <f>IF(LEN(D34)=0,"SÍ","NO")</f>
        <v/>
      </c>
      <c r="D34" s="7">
        <f>IF(F34="","tipo; ","")&amp;IF(G34="","propulsión; ","")&amp;IF(COUNTIF(H34:M34,"Sí")=0,"uso; ","")&amp;IF(OR(N34="",N34="Revisar"),"silla de niños; ","")&amp;IF(O34="","neumáticos; ","")&amp;IF(P34="","terreno; ","")&amp;IF(AND(G34&lt;&gt;"Pedal",Q34=""),"autonomía; ","")&amp;IF(AND(G34&lt;&gt;"Pedal",R34=""),"velocidad; ","")&amp;IF(OR(S34="",S34="Revisar"),"licencia; ","")&amp;IF(T34="","plegable; ","")&amp;IF(U34="","peso; ","")&amp;IF(AND(G34&lt;&gt;"Pedal",V34=""),"carga máx; ","")&amp;IF(AND(ISNUMBER(SEARCH("Bici",F34)),COUNTIF('Altura por modelo'!$A$2:$A$2000,A34)=0),"altura; ","")&amp;IF(COUNTIFS('Altura por modelo'!$A$2:$A$2000,A34,'Altura por modelo'!$E$2:$E$2000,"")+COUNTIFS('Altura por modelo'!$A$2:$A$2000,A34,'Altura por modelo'!$F$2:$F$2000,"")&gt;0,"altura por talle; ","")&amp;IF(AA34&lt;&gt;"Sí","desactivado; ","")</f>
        <v/>
      </c>
      <c r="E34" t="inlineStr">
        <is>
          <t>Bicicletas eléctricas</t>
        </is>
      </c>
      <c r="F34" t="inlineStr">
        <is>
          <t>Bici eléctrica de montaña (eMTB)</t>
        </is>
      </c>
      <c r="G34" t="inlineStr">
        <is>
          <t>Asistida</t>
        </is>
      </c>
      <c r="H34" t="inlineStr">
        <is>
          <t>No</t>
        </is>
      </c>
      <c r="I34" t="inlineStr">
        <is>
          <t>No</t>
        </is>
      </c>
      <c r="J34" t="inlineStr">
        <is>
          <t>Sí</t>
        </is>
      </c>
      <c r="K34" t="inlineStr">
        <is>
          <t>No</t>
        </is>
      </c>
      <c r="L34" t="inlineStr">
        <is>
          <t>No</t>
        </is>
      </c>
      <c r="M34" t="inlineStr">
        <is>
          <t>No</t>
        </is>
      </c>
      <c r="N34" s="10" t="inlineStr">
        <is>
          <t>Revisar</t>
        </is>
      </c>
      <c r="O34" t="inlineStr">
        <is>
          <t>Sí</t>
        </is>
      </c>
      <c r="P34" t="inlineStr">
        <is>
          <t>Mixto y tierra</t>
        </is>
      </c>
      <c r="R34" s="10" t="n">
        <v>25</v>
      </c>
      <c r="S34" t="inlineStr">
        <is>
          <t>No</t>
        </is>
      </c>
      <c r="T34" t="inlineStr">
        <is>
          <t>No</t>
        </is>
      </c>
      <c r="W34" t="inlineStr">
        <is>
          <t>Sí</t>
        </is>
      </c>
      <c r="Y34" t="inlineStr">
        <is>
          <t>Alto</t>
        </is>
      </c>
      <c r="Z34" t="n">
        <v>0</v>
      </c>
      <c r="AA34" t="inlineStr">
        <is>
          <t>Sí</t>
        </is>
      </c>
      <c r="AB34" s="7" t="inlineStr"/>
      <c r="AC34" s="7" t="inlineStr">
        <is>
          <t>Completar autonomía (batería 630 Wh).</t>
        </is>
      </c>
    </row>
    <row r="35">
      <c r="A35" t="n">
        <v>361026582</v>
      </c>
      <c r="B35" t="inlineStr">
        <is>
          <t>City</t>
        </is>
      </c>
      <c r="C35" s="8">
        <f>IF(LEN(D35)=0,"SÍ","NO")</f>
        <v/>
      </c>
      <c r="D35" s="7">
        <f>IF(F35="","tipo; ","")&amp;IF(G35="","propulsión; ","")&amp;IF(COUNTIF(H35:M35,"Sí")=0,"uso; ","")&amp;IF(OR(N35="",N35="Revisar"),"silla de niños; ","")&amp;IF(O35="","neumáticos; ","")&amp;IF(P35="","terreno; ","")&amp;IF(AND(G35&lt;&gt;"Pedal",Q35=""),"autonomía; ","")&amp;IF(AND(G35&lt;&gt;"Pedal",R35=""),"velocidad; ","")&amp;IF(OR(S35="",S35="Revisar"),"licencia; ","")&amp;IF(T35="","plegable; ","")&amp;IF(U35="","peso; ","")&amp;IF(AND(G35&lt;&gt;"Pedal",V35=""),"carga máx; ","")&amp;IF(AND(ISNUMBER(SEARCH("Bici",F35)),COUNTIF('Altura por modelo'!$A$2:$A$2000,A35)=0),"altura; ","")&amp;IF(COUNTIFS('Altura por modelo'!$A$2:$A$2000,A35,'Altura por modelo'!$E$2:$E$2000,"")+COUNTIFS('Altura por modelo'!$A$2:$A$2000,A35,'Altura por modelo'!$F$2:$F$2000,"")&gt;0,"altura por talle; ","")&amp;IF(AA35&lt;&gt;"Sí","desactivado; ","")</f>
        <v/>
      </c>
      <c r="E35" t="inlineStr">
        <is>
          <t>Bicicletas eléctricas</t>
        </is>
      </c>
      <c r="F35" t="inlineStr">
        <is>
          <t>Bici eléctrica tipo moto</t>
        </is>
      </c>
      <c r="G35" t="inlineStr">
        <is>
          <t>Asistida + acelerador</t>
        </is>
      </c>
      <c r="H35" t="inlineStr">
        <is>
          <t>Sí</t>
        </is>
      </c>
      <c r="I35" t="inlineStr">
        <is>
          <t>No</t>
        </is>
      </c>
      <c r="J35" t="inlineStr">
        <is>
          <t>No</t>
        </is>
      </c>
      <c r="K35" t="inlineStr">
        <is>
          <t>No</t>
        </is>
      </c>
      <c r="L35" t="inlineStr">
        <is>
          <t>No</t>
        </is>
      </c>
      <c r="M35" t="inlineStr">
        <is>
          <t>No</t>
        </is>
      </c>
      <c r="N35" s="10" t="inlineStr">
        <is>
          <t>Revisar</t>
        </is>
      </c>
      <c r="O35" t="inlineStr">
        <is>
          <t>Sí</t>
        </is>
      </c>
      <c r="P35" t="inlineStr">
        <is>
          <t>Asfalto</t>
        </is>
      </c>
      <c r="Q35" s="9" t="n">
        <v>65</v>
      </c>
      <c r="R35" s="9" t="n">
        <v>45</v>
      </c>
      <c r="S35" t="inlineStr">
        <is>
          <t>Revisar</t>
        </is>
      </c>
      <c r="T35" t="inlineStr">
        <is>
          <t>No</t>
        </is>
      </c>
      <c r="V35" s="9" t="n">
        <v>120</v>
      </c>
      <c r="W35" t="inlineStr">
        <is>
          <t>No</t>
        </is>
      </c>
      <c r="Y35" t="inlineStr">
        <is>
          <t>Medio</t>
        </is>
      </c>
      <c r="Z35" t="n">
        <v>0</v>
      </c>
      <c r="AA35" t="inlineStr">
        <is>
          <t>Sí</t>
        </is>
      </c>
      <c r="AB35" s="7" t="inlineStr"/>
      <c r="AC35" s="7" t="inlineStr"/>
    </row>
    <row r="36">
      <c r="A36" t="n">
        <v>260343619</v>
      </c>
      <c r="B36" t="inlineStr">
        <is>
          <t>Quick 6</t>
        </is>
      </c>
      <c r="C36" s="8">
        <f>IF(LEN(D36)=0,"SÍ","NO")</f>
        <v/>
      </c>
      <c r="D36" s="7">
        <f>IF(F36="","tipo; ","")&amp;IF(G36="","propulsión; ","")&amp;IF(COUNTIF(H36:M36,"Sí")=0,"uso; ","")&amp;IF(OR(N36="",N36="Revisar"),"silla de niños; ","")&amp;IF(O36="","neumáticos; ","")&amp;IF(P36="","terreno; ","")&amp;IF(AND(G36&lt;&gt;"Pedal",Q36=""),"autonomía; ","")&amp;IF(AND(G36&lt;&gt;"Pedal",R36=""),"velocidad; ","")&amp;IF(OR(S36="",S36="Revisar"),"licencia; ","")&amp;IF(T36="","plegable; ","")&amp;IF(U36="","peso; ","")&amp;IF(AND(G36&lt;&gt;"Pedal",V36=""),"carga máx; ","")&amp;IF(AND(ISNUMBER(SEARCH("Bici",F36)),COUNTIF('Altura por modelo'!$A$2:$A$2000,A36)=0),"altura; ","")&amp;IF(COUNTIFS('Altura por modelo'!$A$2:$A$2000,A36,'Altura por modelo'!$E$2:$E$2000,"")+COUNTIFS('Altura por modelo'!$A$2:$A$2000,A36,'Altura por modelo'!$F$2:$F$2000,"")&gt;0,"altura por talle; ","")&amp;IF(AA36&lt;&gt;"Sí","desactivado; ","")</f>
        <v/>
      </c>
      <c r="E36" t="inlineStr">
        <is>
          <t>Bicicletas &gt; Urbanas</t>
        </is>
      </c>
      <c r="F36" t="inlineStr">
        <is>
          <t>Bici urbana</t>
        </is>
      </c>
      <c r="G36" t="inlineStr">
        <is>
          <t>Pedal</t>
        </is>
      </c>
      <c r="H36" s="10" t="inlineStr">
        <is>
          <t>Sí</t>
        </is>
      </c>
      <c r="I36" s="10" t="inlineStr">
        <is>
          <t>Sí</t>
        </is>
      </c>
      <c r="J36" s="10" t="inlineStr">
        <is>
          <t>No</t>
        </is>
      </c>
      <c r="K36" s="10" t="inlineStr">
        <is>
          <t>No</t>
        </is>
      </c>
      <c r="L36" s="10" t="inlineStr">
        <is>
          <t>No</t>
        </is>
      </c>
      <c r="M36" s="10" t="inlineStr">
        <is>
          <t>No</t>
        </is>
      </c>
      <c r="N36" s="10" t="inlineStr">
        <is>
          <t>Revisar</t>
        </is>
      </c>
      <c r="O36" t="inlineStr">
        <is>
          <t>Sí</t>
        </is>
      </c>
      <c r="P36" s="10" t="inlineStr">
        <is>
          <t>Asfalto</t>
        </is>
      </c>
      <c r="S36" t="inlineStr">
        <is>
          <t>No</t>
        </is>
      </c>
      <c r="T36" t="inlineStr">
        <is>
          <t>No</t>
        </is>
      </c>
      <c r="W36" t="inlineStr">
        <is>
          <t>Sí</t>
        </is>
      </c>
      <c r="Z36" t="n">
        <v>0</v>
      </c>
      <c r="AA36" t="inlineStr">
        <is>
          <t>Sí</t>
        </is>
      </c>
      <c r="AB36" s="7" t="inlineStr"/>
      <c r="AC36" s="7" t="inlineStr"/>
    </row>
    <row r="37">
      <c r="A37" t="n">
        <v>260345186</v>
      </c>
      <c r="B37" t="inlineStr">
        <is>
          <t>Street 700c</t>
        </is>
      </c>
      <c r="C37" s="8">
        <f>IF(LEN(D37)=0,"SÍ","NO")</f>
        <v/>
      </c>
      <c r="D37" s="7">
        <f>IF(F37="","tipo; ","")&amp;IF(G37="","propulsión; ","")&amp;IF(COUNTIF(H37:M37,"Sí")=0,"uso; ","")&amp;IF(OR(N37="",N37="Revisar"),"silla de niños; ","")&amp;IF(O37="","neumáticos; ","")&amp;IF(P37="","terreno; ","")&amp;IF(AND(G37&lt;&gt;"Pedal",Q37=""),"autonomía; ","")&amp;IF(AND(G37&lt;&gt;"Pedal",R37=""),"velocidad; ","")&amp;IF(OR(S37="",S37="Revisar"),"licencia; ","")&amp;IF(T37="","plegable; ","")&amp;IF(U37="","peso; ","")&amp;IF(AND(G37&lt;&gt;"Pedal",V37=""),"carga máx; ","")&amp;IF(AND(ISNUMBER(SEARCH("Bici",F37)),COUNTIF('Altura por modelo'!$A$2:$A$2000,A37)=0),"altura; ","")&amp;IF(COUNTIFS('Altura por modelo'!$A$2:$A$2000,A37,'Altura por modelo'!$E$2:$E$2000,"")+COUNTIFS('Altura por modelo'!$A$2:$A$2000,A37,'Altura por modelo'!$F$2:$F$2000,"")&gt;0,"altura por talle; ","")&amp;IF(AA37&lt;&gt;"Sí","desactivado; ","")</f>
        <v/>
      </c>
      <c r="E37" t="inlineStr">
        <is>
          <t>Bicicletas &gt; Urbanas</t>
        </is>
      </c>
      <c r="F37" t="inlineStr">
        <is>
          <t>Bici urbana</t>
        </is>
      </c>
      <c r="G37" t="inlineStr">
        <is>
          <t>Pedal</t>
        </is>
      </c>
      <c r="H37" s="10" t="inlineStr">
        <is>
          <t>Sí</t>
        </is>
      </c>
      <c r="I37" s="10" t="inlineStr">
        <is>
          <t>Sí</t>
        </is>
      </c>
      <c r="J37" s="10" t="inlineStr">
        <is>
          <t>No</t>
        </is>
      </c>
      <c r="K37" s="10" t="inlineStr">
        <is>
          <t>No</t>
        </is>
      </c>
      <c r="L37" s="10" t="inlineStr">
        <is>
          <t>No</t>
        </is>
      </c>
      <c r="M37" s="10" t="inlineStr">
        <is>
          <t>No</t>
        </is>
      </c>
      <c r="N37" s="10" t="inlineStr">
        <is>
          <t>Revisar</t>
        </is>
      </c>
      <c r="O37" t="inlineStr">
        <is>
          <t>Sí</t>
        </is>
      </c>
      <c r="P37" s="10" t="inlineStr">
        <is>
          <t>Asfalto</t>
        </is>
      </c>
      <c r="S37" t="inlineStr">
        <is>
          <t>No</t>
        </is>
      </c>
      <c r="T37" t="inlineStr">
        <is>
          <t>No</t>
        </is>
      </c>
      <c r="W37" t="inlineStr">
        <is>
          <t>Sí</t>
        </is>
      </c>
      <c r="Z37" t="n">
        <v>0</v>
      </c>
      <c r="AA37" t="inlineStr">
        <is>
          <t>Sí</t>
        </is>
      </c>
      <c r="AB37" s="7" t="inlineStr"/>
      <c r="AC37" s="7" t="inlineStr"/>
    </row>
    <row r="38">
      <c r="A38" t="n">
        <v>260346843</v>
      </c>
      <c r="B38" t="inlineStr">
        <is>
          <t>Space</t>
        </is>
      </c>
      <c r="C38" s="8">
        <f>IF(LEN(D38)=0,"SÍ","NO")</f>
        <v/>
      </c>
      <c r="D38" s="7">
        <f>IF(F38="","tipo; ","")&amp;IF(G38="","propulsión; ","")&amp;IF(COUNTIF(H38:M38,"Sí")=0,"uso; ","")&amp;IF(OR(N38="",N38="Revisar"),"silla de niños; ","")&amp;IF(O38="","neumáticos; ","")&amp;IF(P38="","terreno; ","")&amp;IF(AND(G38&lt;&gt;"Pedal",Q38=""),"autonomía; ","")&amp;IF(AND(G38&lt;&gt;"Pedal",R38=""),"velocidad; ","")&amp;IF(OR(S38="",S38="Revisar"),"licencia; ","")&amp;IF(T38="","plegable; ","")&amp;IF(U38="","peso; ","")&amp;IF(AND(G38&lt;&gt;"Pedal",V38=""),"carga máx; ","")&amp;IF(AND(ISNUMBER(SEARCH("Bici",F38)),COUNTIF('Altura por modelo'!$A$2:$A$2000,A38)=0),"altura; ","")&amp;IF(COUNTIFS('Altura por modelo'!$A$2:$A$2000,A38,'Altura por modelo'!$E$2:$E$2000,"")+COUNTIFS('Altura por modelo'!$A$2:$A$2000,A38,'Altura por modelo'!$F$2:$F$2000,"")&gt;0,"altura por talle; ","")&amp;IF(AA38&lt;&gt;"Sí","desactivado; ","")</f>
        <v/>
      </c>
      <c r="E38" t="inlineStr">
        <is>
          <t>Bicicletas &gt; Urbanas</t>
        </is>
      </c>
      <c r="F38" t="inlineStr">
        <is>
          <t>Bici urbana</t>
        </is>
      </c>
      <c r="G38" t="inlineStr">
        <is>
          <t>Pedal</t>
        </is>
      </c>
      <c r="H38" s="10" t="inlineStr">
        <is>
          <t>Sí</t>
        </is>
      </c>
      <c r="I38" s="10" t="inlineStr">
        <is>
          <t>Sí</t>
        </is>
      </c>
      <c r="J38" s="10" t="inlineStr">
        <is>
          <t>No</t>
        </is>
      </c>
      <c r="K38" s="10" t="inlineStr">
        <is>
          <t>No</t>
        </is>
      </c>
      <c r="L38" s="10" t="inlineStr">
        <is>
          <t>No</t>
        </is>
      </c>
      <c r="M38" s="10" t="inlineStr">
        <is>
          <t>No</t>
        </is>
      </c>
      <c r="N38" s="10" t="inlineStr">
        <is>
          <t>Revisar</t>
        </is>
      </c>
      <c r="O38" t="inlineStr">
        <is>
          <t>Sí</t>
        </is>
      </c>
      <c r="P38" s="10" t="inlineStr">
        <is>
          <t>Asfalto</t>
        </is>
      </c>
      <c r="S38" t="inlineStr">
        <is>
          <t>No</t>
        </is>
      </c>
      <c r="T38" t="inlineStr">
        <is>
          <t>No</t>
        </is>
      </c>
      <c r="W38" t="inlineStr">
        <is>
          <t>Sí</t>
        </is>
      </c>
      <c r="Z38" t="n">
        <v>0</v>
      </c>
      <c r="AA38" t="inlineStr">
        <is>
          <t>Sí</t>
        </is>
      </c>
      <c r="AB38" s="7" t="inlineStr"/>
      <c r="AC38" s="7" t="inlineStr"/>
    </row>
    <row r="39">
      <c r="A39" t="n">
        <v>260348567</v>
      </c>
      <c r="B39" t="inlineStr">
        <is>
          <t>Alight 2 DD Disc</t>
        </is>
      </c>
      <c r="C39" s="8">
        <f>IF(LEN(D39)=0,"SÍ","NO")</f>
        <v/>
      </c>
      <c r="D39" s="7">
        <f>IF(F39="","tipo; ","")&amp;IF(G39="","propulsión; ","")&amp;IF(COUNTIF(H39:M39,"Sí")=0,"uso; ","")&amp;IF(OR(N39="",N39="Revisar"),"silla de niños; ","")&amp;IF(O39="","neumáticos; ","")&amp;IF(P39="","terreno; ","")&amp;IF(AND(G39&lt;&gt;"Pedal",Q39=""),"autonomía; ","")&amp;IF(AND(G39&lt;&gt;"Pedal",R39=""),"velocidad; ","")&amp;IF(OR(S39="",S39="Revisar"),"licencia; ","")&amp;IF(T39="","plegable; ","")&amp;IF(U39="","peso; ","")&amp;IF(AND(G39&lt;&gt;"Pedal",V39=""),"carga máx; ","")&amp;IF(AND(ISNUMBER(SEARCH("Bici",F39)),COUNTIF('Altura por modelo'!$A$2:$A$2000,A39)=0),"altura; ","")&amp;IF(COUNTIFS('Altura por modelo'!$A$2:$A$2000,A39,'Altura por modelo'!$E$2:$E$2000,"")+COUNTIFS('Altura por modelo'!$A$2:$A$2000,A39,'Altura por modelo'!$F$2:$F$2000,"")&gt;0,"altura por talle; ","")&amp;IF(AA39&lt;&gt;"Sí","desactivado; ","")</f>
        <v/>
      </c>
      <c r="E39" t="inlineStr">
        <is>
          <t>Bicicletas &gt; Urbanas</t>
        </is>
      </c>
      <c r="F39" t="inlineStr">
        <is>
          <t>Bici urbana</t>
        </is>
      </c>
      <c r="G39" t="inlineStr">
        <is>
          <t>Pedal</t>
        </is>
      </c>
      <c r="H39" s="10" t="inlineStr">
        <is>
          <t>Sí</t>
        </is>
      </c>
      <c r="I39" s="10" t="inlineStr">
        <is>
          <t>Sí</t>
        </is>
      </c>
      <c r="J39" s="10" t="inlineStr">
        <is>
          <t>No</t>
        </is>
      </c>
      <c r="K39" s="10" t="inlineStr">
        <is>
          <t>No</t>
        </is>
      </c>
      <c r="L39" s="10" t="inlineStr">
        <is>
          <t>No</t>
        </is>
      </c>
      <c r="M39" s="10" t="inlineStr">
        <is>
          <t>No</t>
        </is>
      </c>
      <c r="N39" s="10" t="inlineStr">
        <is>
          <t>Revisar</t>
        </is>
      </c>
      <c r="O39" t="inlineStr">
        <is>
          <t>Sí</t>
        </is>
      </c>
      <c r="P39" s="10" t="inlineStr">
        <is>
          <t>Asfalto</t>
        </is>
      </c>
      <c r="S39" t="inlineStr">
        <is>
          <t>No</t>
        </is>
      </c>
      <c r="T39" t="inlineStr">
        <is>
          <t>No</t>
        </is>
      </c>
      <c r="W39" t="inlineStr">
        <is>
          <t>Sí</t>
        </is>
      </c>
      <c r="Z39" t="n">
        <v>0</v>
      </c>
      <c r="AA39" t="inlineStr">
        <is>
          <t>Sí</t>
        </is>
      </c>
      <c r="AB39" s="7" t="inlineStr"/>
      <c r="AC39" s="7" t="inlineStr"/>
    </row>
    <row r="40">
      <c r="A40" t="n">
        <v>283613255</v>
      </c>
      <c r="B40" t="inlineStr">
        <is>
          <t>Kentfield 1</t>
        </is>
      </c>
      <c r="C40" s="8">
        <f>IF(LEN(D40)=0,"SÍ","NO")</f>
        <v/>
      </c>
      <c r="D40" s="7">
        <f>IF(F40="","tipo; ","")&amp;IF(G40="","propulsión; ","")&amp;IF(COUNTIF(H40:M40,"Sí")=0,"uso; ","")&amp;IF(OR(N40="",N40="Revisar"),"silla de niños; ","")&amp;IF(O40="","neumáticos; ","")&amp;IF(P40="","terreno; ","")&amp;IF(AND(G40&lt;&gt;"Pedal",Q40=""),"autonomía; ","")&amp;IF(AND(G40&lt;&gt;"Pedal",R40=""),"velocidad; ","")&amp;IF(OR(S40="",S40="Revisar"),"licencia; ","")&amp;IF(T40="","plegable; ","")&amp;IF(U40="","peso; ","")&amp;IF(AND(G40&lt;&gt;"Pedal",V40=""),"carga máx; ","")&amp;IF(AND(ISNUMBER(SEARCH("Bici",F40)),COUNTIF('Altura por modelo'!$A$2:$A$2000,A40)=0),"altura; ","")&amp;IF(COUNTIFS('Altura por modelo'!$A$2:$A$2000,A40,'Altura por modelo'!$E$2:$E$2000,"")+COUNTIFS('Altura por modelo'!$A$2:$A$2000,A40,'Altura por modelo'!$F$2:$F$2000,"")&gt;0,"altura por talle; ","")&amp;IF(AA40&lt;&gt;"Sí","desactivado; ","")</f>
        <v/>
      </c>
      <c r="E40" t="inlineStr">
        <is>
          <t>Bicicletas &gt; Urbanas</t>
        </is>
      </c>
      <c r="F40" t="inlineStr">
        <is>
          <t>Bici urbana</t>
        </is>
      </c>
      <c r="G40" t="inlineStr">
        <is>
          <t>Pedal</t>
        </is>
      </c>
      <c r="H40" s="10" t="inlineStr">
        <is>
          <t>Sí</t>
        </is>
      </c>
      <c r="I40" s="10" t="inlineStr">
        <is>
          <t>Sí</t>
        </is>
      </c>
      <c r="J40" s="10" t="inlineStr">
        <is>
          <t>No</t>
        </is>
      </c>
      <c r="K40" s="10" t="inlineStr">
        <is>
          <t>No</t>
        </is>
      </c>
      <c r="L40" s="10" t="inlineStr">
        <is>
          <t>No</t>
        </is>
      </c>
      <c r="M40" s="10" t="inlineStr">
        <is>
          <t>No</t>
        </is>
      </c>
      <c r="N40" s="10" t="inlineStr">
        <is>
          <t>Revisar</t>
        </is>
      </c>
      <c r="O40" t="inlineStr">
        <is>
          <t>Sí</t>
        </is>
      </c>
      <c r="P40" s="10" t="inlineStr">
        <is>
          <t>Asfalto</t>
        </is>
      </c>
      <c r="S40" t="inlineStr">
        <is>
          <t>No</t>
        </is>
      </c>
      <c r="T40" t="inlineStr">
        <is>
          <t>No</t>
        </is>
      </c>
      <c r="W40" t="inlineStr">
        <is>
          <t>Sí</t>
        </is>
      </c>
      <c r="Z40" t="n">
        <v>0</v>
      </c>
      <c r="AA40" t="inlineStr">
        <is>
          <t>Sí</t>
        </is>
      </c>
      <c r="AB40" s="7" t="inlineStr"/>
      <c r="AC40" s="7" t="inlineStr"/>
    </row>
    <row r="41">
      <c r="A41" t="n">
        <v>284230738</v>
      </c>
      <c r="B41" t="inlineStr">
        <is>
          <t>Fairfax 1 (2025)</t>
        </is>
      </c>
      <c r="C41" s="8">
        <f>IF(LEN(D41)=0,"SÍ","NO")</f>
        <v/>
      </c>
      <c r="D41" s="7">
        <f>IF(F41="","tipo; ","")&amp;IF(G41="","propulsión; ","")&amp;IF(COUNTIF(H41:M41,"Sí")=0,"uso; ","")&amp;IF(OR(N41="",N41="Revisar"),"silla de niños; ","")&amp;IF(O41="","neumáticos; ","")&amp;IF(P41="","terreno; ","")&amp;IF(AND(G41&lt;&gt;"Pedal",Q41=""),"autonomía; ","")&amp;IF(AND(G41&lt;&gt;"Pedal",R41=""),"velocidad; ","")&amp;IF(OR(S41="",S41="Revisar"),"licencia; ","")&amp;IF(T41="","plegable; ","")&amp;IF(U41="","peso; ","")&amp;IF(AND(G41&lt;&gt;"Pedal",V41=""),"carga máx; ","")&amp;IF(AND(ISNUMBER(SEARCH("Bici",F41)),COUNTIF('Altura por modelo'!$A$2:$A$2000,A41)=0),"altura; ","")&amp;IF(COUNTIFS('Altura por modelo'!$A$2:$A$2000,A41,'Altura por modelo'!$E$2:$E$2000,"")+COUNTIFS('Altura por modelo'!$A$2:$A$2000,A41,'Altura por modelo'!$F$2:$F$2000,"")&gt;0,"altura por talle; ","")&amp;IF(AA41&lt;&gt;"Sí","desactivado; ","")</f>
        <v/>
      </c>
      <c r="E41" t="inlineStr">
        <is>
          <t>Bicicletas &gt; Urbanas</t>
        </is>
      </c>
      <c r="F41" t="inlineStr">
        <is>
          <t>Bici urbana</t>
        </is>
      </c>
      <c r="G41" t="inlineStr">
        <is>
          <t>Pedal</t>
        </is>
      </c>
      <c r="H41" s="10" t="inlineStr">
        <is>
          <t>Sí</t>
        </is>
      </c>
      <c r="I41" s="10" t="inlineStr">
        <is>
          <t>Sí</t>
        </is>
      </c>
      <c r="J41" s="10" t="inlineStr">
        <is>
          <t>No</t>
        </is>
      </c>
      <c r="K41" s="10" t="inlineStr">
        <is>
          <t>No</t>
        </is>
      </c>
      <c r="L41" s="10" t="inlineStr">
        <is>
          <t>No</t>
        </is>
      </c>
      <c r="M41" s="10" t="inlineStr">
        <is>
          <t>No</t>
        </is>
      </c>
      <c r="N41" s="10" t="inlineStr">
        <is>
          <t>Revisar</t>
        </is>
      </c>
      <c r="O41" t="inlineStr">
        <is>
          <t>Sí</t>
        </is>
      </c>
      <c r="P41" s="10" t="inlineStr">
        <is>
          <t>Asfalto</t>
        </is>
      </c>
      <c r="S41" t="inlineStr">
        <is>
          <t>No</t>
        </is>
      </c>
      <c r="T41" t="inlineStr">
        <is>
          <t>No</t>
        </is>
      </c>
      <c r="W41" t="inlineStr">
        <is>
          <t>Sí</t>
        </is>
      </c>
      <c r="Z41" t="n">
        <v>0</v>
      </c>
      <c r="AA41" t="inlineStr">
        <is>
          <t>Sí</t>
        </is>
      </c>
      <c r="AB41" s="7" t="inlineStr"/>
      <c r="AC41" s="7" t="inlineStr"/>
    </row>
    <row r="42">
      <c r="A42" t="n">
        <v>284243181</v>
      </c>
      <c r="B42" t="inlineStr">
        <is>
          <t>Presidio 1 (2025)</t>
        </is>
      </c>
      <c r="C42" s="8">
        <f>IF(LEN(D42)=0,"SÍ","NO")</f>
        <v/>
      </c>
      <c r="D42" s="7">
        <f>IF(F42="","tipo; ","")&amp;IF(G42="","propulsión; ","")&amp;IF(COUNTIF(H42:M42,"Sí")=0,"uso; ","")&amp;IF(OR(N42="",N42="Revisar"),"silla de niños; ","")&amp;IF(O42="","neumáticos; ","")&amp;IF(P42="","terreno; ","")&amp;IF(AND(G42&lt;&gt;"Pedal",Q42=""),"autonomía; ","")&amp;IF(AND(G42&lt;&gt;"Pedal",R42=""),"velocidad; ","")&amp;IF(OR(S42="",S42="Revisar"),"licencia; ","")&amp;IF(T42="","plegable; ","")&amp;IF(U42="","peso; ","")&amp;IF(AND(G42&lt;&gt;"Pedal",V42=""),"carga máx; ","")&amp;IF(AND(ISNUMBER(SEARCH("Bici",F42)),COUNTIF('Altura por modelo'!$A$2:$A$2000,A42)=0),"altura; ","")&amp;IF(COUNTIFS('Altura por modelo'!$A$2:$A$2000,A42,'Altura por modelo'!$E$2:$E$2000,"")+COUNTIFS('Altura por modelo'!$A$2:$A$2000,A42,'Altura por modelo'!$F$2:$F$2000,"")&gt;0,"altura por talle; ","")&amp;IF(AA42&lt;&gt;"Sí","desactivado; ","")</f>
        <v/>
      </c>
      <c r="E42" t="inlineStr">
        <is>
          <t>Bicicletas &gt; Urbanas</t>
        </is>
      </c>
      <c r="F42" t="inlineStr">
        <is>
          <t>Bici urbana</t>
        </is>
      </c>
      <c r="G42" t="inlineStr">
        <is>
          <t>Pedal</t>
        </is>
      </c>
      <c r="H42" s="10" t="inlineStr">
        <is>
          <t>Sí</t>
        </is>
      </c>
      <c r="I42" s="10" t="inlineStr">
        <is>
          <t>Sí</t>
        </is>
      </c>
      <c r="J42" s="10" t="inlineStr">
        <is>
          <t>No</t>
        </is>
      </c>
      <c r="K42" s="10" t="inlineStr">
        <is>
          <t>No</t>
        </is>
      </c>
      <c r="L42" s="10" t="inlineStr">
        <is>
          <t>No</t>
        </is>
      </c>
      <c r="M42" s="10" t="inlineStr">
        <is>
          <t>No</t>
        </is>
      </c>
      <c r="N42" s="10" t="inlineStr">
        <is>
          <t>Revisar</t>
        </is>
      </c>
      <c r="O42" t="inlineStr">
        <is>
          <t>Sí</t>
        </is>
      </c>
      <c r="P42" s="10" t="inlineStr">
        <is>
          <t>Asfalto</t>
        </is>
      </c>
      <c r="S42" t="inlineStr">
        <is>
          <t>No</t>
        </is>
      </c>
      <c r="T42" t="inlineStr">
        <is>
          <t>No</t>
        </is>
      </c>
      <c r="W42" t="inlineStr">
        <is>
          <t>Sí</t>
        </is>
      </c>
      <c r="Z42" t="n">
        <v>0</v>
      </c>
      <c r="AA42" t="inlineStr">
        <is>
          <t>Sí</t>
        </is>
      </c>
      <c r="AB42" s="7" t="inlineStr"/>
      <c r="AC42" s="7" t="inlineStr"/>
    </row>
    <row r="43">
      <c r="A43" t="n">
        <v>284246048</v>
      </c>
      <c r="B43" t="inlineStr">
        <is>
          <t>Muirwoods (2022)</t>
        </is>
      </c>
      <c r="C43" s="8">
        <f>IF(LEN(D43)=0,"SÍ","NO")</f>
        <v/>
      </c>
      <c r="D43" s="7">
        <f>IF(F43="","tipo; ","")&amp;IF(G43="","propulsión; ","")&amp;IF(COUNTIF(H43:M43,"Sí")=0,"uso; ","")&amp;IF(OR(N43="",N43="Revisar"),"silla de niños; ","")&amp;IF(O43="","neumáticos; ","")&amp;IF(P43="","terreno; ","")&amp;IF(AND(G43&lt;&gt;"Pedal",Q43=""),"autonomía; ","")&amp;IF(AND(G43&lt;&gt;"Pedal",R43=""),"velocidad; ","")&amp;IF(OR(S43="",S43="Revisar"),"licencia; ","")&amp;IF(T43="","plegable; ","")&amp;IF(U43="","peso; ","")&amp;IF(AND(G43&lt;&gt;"Pedal",V43=""),"carga máx; ","")&amp;IF(AND(ISNUMBER(SEARCH("Bici",F43)),COUNTIF('Altura por modelo'!$A$2:$A$2000,A43)=0),"altura; ","")&amp;IF(COUNTIFS('Altura por modelo'!$A$2:$A$2000,A43,'Altura por modelo'!$E$2:$E$2000,"")+COUNTIFS('Altura por modelo'!$A$2:$A$2000,A43,'Altura por modelo'!$F$2:$F$2000,"")&gt;0,"altura por talle; ","")&amp;IF(AA43&lt;&gt;"Sí","desactivado; ","")</f>
        <v/>
      </c>
      <c r="E43" t="inlineStr">
        <is>
          <t>Bicicletas &gt; Urbanas</t>
        </is>
      </c>
      <c r="F43" t="inlineStr">
        <is>
          <t>Bici urbana</t>
        </is>
      </c>
      <c r="G43" t="inlineStr">
        <is>
          <t>Pedal</t>
        </is>
      </c>
      <c r="H43" s="10" t="inlineStr">
        <is>
          <t>Sí</t>
        </is>
      </c>
      <c r="I43" s="10" t="inlineStr">
        <is>
          <t>Sí</t>
        </is>
      </c>
      <c r="J43" s="10" t="inlineStr">
        <is>
          <t>No</t>
        </is>
      </c>
      <c r="K43" s="10" t="inlineStr">
        <is>
          <t>No</t>
        </is>
      </c>
      <c r="L43" s="10" t="inlineStr">
        <is>
          <t>No</t>
        </is>
      </c>
      <c r="M43" s="10" t="inlineStr">
        <is>
          <t>No</t>
        </is>
      </c>
      <c r="N43" s="10" t="inlineStr">
        <is>
          <t>Revisar</t>
        </is>
      </c>
      <c r="O43" t="inlineStr">
        <is>
          <t>Sí</t>
        </is>
      </c>
      <c r="P43" s="10" t="inlineStr">
        <is>
          <t>Asfalto</t>
        </is>
      </c>
      <c r="S43" t="inlineStr">
        <is>
          <t>No</t>
        </is>
      </c>
      <c r="T43" t="inlineStr">
        <is>
          <t>No</t>
        </is>
      </c>
      <c r="W43" t="inlineStr">
        <is>
          <t>Sí</t>
        </is>
      </c>
      <c r="Z43" t="n">
        <v>0</v>
      </c>
      <c r="AA43" t="inlineStr">
        <is>
          <t>Sí</t>
        </is>
      </c>
      <c r="AB43" s="7" t="inlineStr"/>
      <c r="AC43" s="7" t="inlineStr"/>
    </row>
    <row r="44">
      <c r="A44" t="n">
        <v>284254494</v>
      </c>
      <c r="B44" t="inlineStr">
        <is>
          <t>Kentfield 2</t>
        </is>
      </c>
      <c r="C44" s="8">
        <f>IF(LEN(D44)=0,"SÍ","NO")</f>
        <v/>
      </c>
      <c r="D44" s="7">
        <f>IF(F44="","tipo; ","")&amp;IF(G44="","propulsión; ","")&amp;IF(COUNTIF(H44:M44,"Sí")=0,"uso; ","")&amp;IF(OR(N44="",N44="Revisar"),"silla de niños; ","")&amp;IF(O44="","neumáticos; ","")&amp;IF(P44="","terreno; ","")&amp;IF(AND(G44&lt;&gt;"Pedal",Q44=""),"autonomía; ","")&amp;IF(AND(G44&lt;&gt;"Pedal",R44=""),"velocidad; ","")&amp;IF(OR(S44="",S44="Revisar"),"licencia; ","")&amp;IF(T44="","plegable; ","")&amp;IF(U44="","peso; ","")&amp;IF(AND(G44&lt;&gt;"Pedal",V44=""),"carga máx; ","")&amp;IF(AND(ISNUMBER(SEARCH("Bici",F44)),COUNTIF('Altura por modelo'!$A$2:$A$2000,A44)=0),"altura; ","")&amp;IF(COUNTIFS('Altura por modelo'!$A$2:$A$2000,A44,'Altura por modelo'!$E$2:$E$2000,"")+COUNTIFS('Altura por modelo'!$A$2:$A$2000,A44,'Altura por modelo'!$F$2:$F$2000,"")&gt;0,"altura por talle; ","")&amp;IF(AA44&lt;&gt;"Sí","desactivado; ","")</f>
        <v/>
      </c>
      <c r="E44" t="inlineStr">
        <is>
          <t>Bicicletas &gt; Urbanas</t>
        </is>
      </c>
      <c r="F44" t="inlineStr">
        <is>
          <t>Bici urbana</t>
        </is>
      </c>
      <c r="G44" t="inlineStr">
        <is>
          <t>Pedal</t>
        </is>
      </c>
      <c r="H44" s="10" t="inlineStr">
        <is>
          <t>Sí</t>
        </is>
      </c>
      <c r="I44" s="10" t="inlineStr">
        <is>
          <t>Sí</t>
        </is>
      </c>
      <c r="J44" s="10" t="inlineStr">
        <is>
          <t>No</t>
        </is>
      </c>
      <c r="K44" s="10" t="inlineStr">
        <is>
          <t>No</t>
        </is>
      </c>
      <c r="L44" s="10" t="inlineStr">
        <is>
          <t>No</t>
        </is>
      </c>
      <c r="M44" s="10" t="inlineStr">
        <is>
          <t>No</t>
        </is>
      </c>
      <c r="N44" s="10" t="inlineStr">
        <is>
          <t>Revisar</t>
        </is>
      </c>
      <c r="O44" t="inlineStr">
        <is>
          <t>Sí</t>
        </is>
      </c>
      <c r="P44" s="10" t="inlineStr">
        <is>
          <t>Asfalto</t>
        </is>
      </c>
      <c r="S44" t="inlineStr">
        <is>
          <t>No</t>
        </is>
      </c>
      <c r="T44" t="inlineStr">
        <is>
          <t>No</t>
        </is>
      </c>
      <c r="W44" t="inlineStr">
        <is>
          <t>Sí</t>
        </is>
      </c>
      <c r="Z44" t="n">
        <v>0</v>
      </c>
      <c r="AA44" t="inlineStr">
        <is>
          <t>Sí</t>
        </is>
      </c>
      <c r="AB44" s="7" t="inlineStr"/>
      <c r="AC44" s="7" t="inlineStr"/>
    </row>
    <row r="45">
      <c r="A45" t="n">
        <v>297493608</v>
      </c>
      <c r="B45" t="inlineStr">
        <is>
          <t>Stinson 1</t>
        </is>
      </c>
      <c r="C45" s="8">
        <f>IF(LEN(D45)=0,"SÍ","NO")</f>
        <v/>
      </c>
      <c r="D45" s="7">
        <f>IF(F45="","tipo; ","")&amp;IF(G45="","propulsión; ","")&amp;IF(COUNTIF(H45:M45,"Sí")=0,"uso; ","")&amp;IF(OR(N45="",N45="Revisar"),"silla de niños; ","")&amp;IF(O45="","neumáticos; ","")&amp;IF(P45="","terreno; ","")&amp;IF(AND(G45&lt;&gt;"Pedal",Q45=""),"autonomía; ","")&amp;IF(AND(G45&lt;&gt;"Pedal",R45=""),"velocidad; ","")&amp;IF(OR(S45="",S45="Revisar"),"licencia; ","")&amp;IF(T45="","plegable; ","")&amp;IF(U45="","peso; ","")&amp;IF(AND(G45&lt;&gt;"Pedal",V45=""),"carga máx; ","")&amp;IF(AND(ISNUMBER(SEARCH("Bici",F45)),COUNTIF('Altura por modelo'!$A$2:$A$2000,A45)=0),"altura; ","")&amp;IF(COUNTIFS('Altura por modelo'!$A$2:$A$2000,A45,'Altura por modelo'!$E$2:$E$2000,"")+COUNTIFS('Altura por modelo'!$A$2:$A$2000,A45,'Altura por modelo'!$F$2:$F$2000,"")&gt;0,"altura por talle; ","")&amp;IF(AA45&lt;&gt;"Sí","desactivado; ","")</f>
        <v/>
      </c>
      <c r="E45" t="inlineStr">
        <is>
          <t>Bicicletas &gt; Urbanas</t>
        </is>
      </c>
      <c r="F45" t="inlineStr">
        <is>
          <t>Bici urbana</t>
        </is>
      </c>
      <c r="G45" t="inlineStr">
        <is>
          <t>Pedal</t>
        </is>
      </c>
      <c r="H45" s="10" t="inlineStr">
        <is>
          <t>Sí</t>
        </is>
      </c>
      <c r="I45" s="10" t="inlineStr">
        <is>
          <t>Sí</t>
        </is>
      </c>
      <c r="J45" s="10" t="inlineStr">
        <is>
          <t>No</t>
        </is>
      </c>
      <c r="K45" s="10" t="inlineStr">
        <is>
          <t>No</t>
        </is>
      </c>
      <c r="L45" s="10" t="inlineStr">
        <is>
          <t>No</t>
        </is>
      </c>
      <c r="M45" s="10" t="inlineStr">
        <is>
          <t>No</t>
        </is>
      </c>
      <c r="N45" s="10" t="inlineStr">
        <is>
          <t>Revisar</t>
        </is>
      </c>
      <c r="O45" t="inlineStr">
        <is>
          <t>Sí</t>
        </is>
      </c>
      <c r="P45" s="10" t="inlineStr">
        <is>
          <t>Asfalto</t>
        </is>
      </c>
      <c r="S45" t="inlineStr">
        <is>
          <t>No</t>
        </is>
      </c>
      <c r="T45" t="inlineStr">
        <is>
          <t>No</t>
        </is>
      </c>
      <c r="W45" t="inlineStr">
        <is>
          <t>Sí</t>
        </is>
      </c>
      <c r="Z45" t="n">
        <v>0</v>
      </c>
      <c r="AA45" t="inlineStr">
        <is>
          <t>Sí</t>
        </is>
      </c>
      <c r="AB45" s="7" t="inlineStr"/>
      <c r="AC45" s="7" t="inlineStr"/>
    </row>
    <row r="46">
      <c r="A46" t="n">
        <v>297519717</v>
      </c>
      <c r="B46" t="inlineStr">
        <is>
          <t>Stinson 2</t>
        </is>
      </c>
      <c r="C46" s="8">
        <f>IF(LEN(D46)=0,"SÍ","NO")</f>
        <v/>
      </c>
      <c r="D46" s="7">
        <f>IF(F46="","tipo; ","")&amp;IF(G46="","propulsión; ","")&amp;IF(COUNTIF(H46:M46,"Sí")=0,"uso; ","")&amp;IF(OR(N46="",N46="Revisar"),"silla de niños; ","")&amp;IF(O46="","neumáticos; ","")&amp;IF(P46="","terreno; ","")&amp;IF(AND(G46&lt;&gt;"Pedal",Q46=""),"autonomía; ","")&amp;IF(AND(G46&lt;&gt;"Pedal",R46=""),"velocidad; ","")&amp;IF(OR(S46="",S46="Revisar"),"licencia; ","")&amp;IF(T46="","plegable; ","")&amp;IF(U46="","peso; ","")&amp;IF(AND(G46&lt;&gt;"Pedal",V46=""),"carga máx; ","")&amp;IF(AND(ISNUMBER(SEARCH("Bici",F46)),COUNTIF('Altura por modelo'!$A$2:$A$2000,A46)=0),"altura; ","")&amp;IF(COUNTIFS('Altura por modelo'!$A$2:$A$2000,A46,'Altura por modelo'!$E$2:$E$2000,"")+COUNTIFS('Altura por modelo'!$A$2:$A$2000,A46,'Altura por modelo'!$F$2:$F$2000,"")&gt;0,"altura por talle; ","")&amp;IF(AA46&lt;&gt;"Sí","desactivado; ","")</f>
        <v/>
      </c>
      <c r="E46" t="inlineStr">
        <is>
          <t>Bicicletas &gt; Urbanas</t>
        </is>
      </c>
      <c r="F46" t="inlineStr">
        <is>
          <t>Bici urbana</t>
        </is>
      </c>
      <c r="G46" t="inlineStr">
        <is>
          <t>Pedal</t>
        </is>
      </c>
      <c r="H46" s="10" t="inlineStr">
        <is>
          <t>Sí</t>
        </is>
      </c>
      <c r="I46" s="10" t="inlineStr">
        <is>
          <t>Sí</t>
        </is>
      </c>
      <c r="J46" s="10" t="inlineStr">
        <is>
          <t>No</t>
        </is>
      </c>
      <c r="K46" s="10" t="inlineStr">
        <is>
          <t>No</t>
        </is>
      </c>
      <c r="L46" s="10" t="inlineStr">
        <is>
          <t>No</t>
        </is>
      </c>
      <c r="M46" s="10" t="inlineStr">
        <is>
          <t>No</t>
        </is>
      </c>
      <c r="N46" s="10" t="inlineStr">
        <is>
          <t>Revisar</t>
        </is>
      </c>
      <c r="O46" t="inlineStr">
        <is>
          <t>Sí</t>
        </is>
      </c>
      <c r="P46" s="10" t="inlineStr">
        <is>
          <t>Asfalto</t>
        </is>
      </c>
      <c r="S46" t="inlineStr">
        <is>
          <t>No</t>
        </is>
      </c>
      <c r="T46" t="inlineStr">
        <is>
          <t>No</t>
        </is>
      </c>
      <c r="W46" t="inlineStr">
        <is>
          <t>Sí</t>
        </is>
      </c>
      <c r="Z46" t="n">
        <v>0</v>
      </c>
      <c r="AA46" t="inlineStr">
        <is>
          <t>Sí</t>
        </is>
      </c>
      <c r="AB46" s="7" t="inlineStr"/>
      <c r="AC46" s="7" t="inlineStr"/>
    </row>
    <row r="47">
      <c r="A47" t="n">
        <v>349261735</v>
      </c>
      <c r="B47" t="inlineStr">
        <is>
          <t>Roadkiller Lady Disk</t>
        </is>
      </c>
      <c r="C47" s="8">
        <f>IF(LEN(D47)=0,"SÍ","NO")</f>
        <v/>
      </c>
      <c r="D47" s="7">
        <f>IF(F47="","tipo; ","")&amp;IF(G47="","propulsión; ","")&amp;IF(COUNTIF(H47:M47,"Sí")=0,"uso; ","")&amp;IF(OR(N47="",N47="Revisar"),"silla de niños; ","")&amp;IF(O47="","neumáticos; ","")&amp;IF(P47="","terreno; ","")&amp;IF(AND(G47&lt;&gt;"Pedal",Q47=""),"autonomía; ","")&amp;IF(AND(G47&lt;&gt;"Pedal",R47=""),"velocidad; ","")&amp;IF(OR(S47="",S47="Revisar"),"licencia; ","")&amp;IF(T47="","plegable; ","")&amp;IF(U47="","peso; ","")&amp;IF(AND(G47&lt;&gt;"Pedal",V47=""),"carga máx; ","")&amp;IF(AND(ISNUMBER(SEARCH("Bici",F47)),COUNTIF('Altura por modelo'!$A$2:$A$2000,A47)=0),"altura; ","")&amp;IF(COUNTIFS('Altura por modelo'!$A$2:$A$2000,A47,'Altura por modelo'!$E$2:$E$2000,"")+COUNTIFS('Altura por modelo'!$A$2:$A$2000,A47,'Altura por modelo'!$F$2:$F$2000,"")&gt;0,"altura por talle; ","")&amp;IF(AA47&lt;&gt;"Sí","desactivado; ","")</f>
        <v/>
      </c>
      <c r="E47" t="inlineStr">
        <is>
          <t>Bicicletas &gt; Urbanas</t>
        </is>
      </c>
      <c r="F47" t="inlineStr">
        <is>
          <t>Bici urbana</t>
        </is>
      </c>
      <c r="G47" t="inlineStr">
        <is>
          <t>Pedal</t>
        </is>
      </c>
      <c r="H47" s="10" t="inlineStr">
        <is>
          <t>Sí</t>
        </is>
      </c>
      <c r="I47" s="10" t="inlineStr">
        <is>
          <t>Sí</t>
        </is>
      </c>
      <c r="J47" s="10" t="inlineStr">
        <is>
          <t>No</t>
        </is>
      </c>
      <c r="K47" s="10" t="inlineStr">
        <is>
          <t>No</t>
        </is>
      </c>
      <c r="L47" s="10" t="inlineStr">
        <is>
          <t>No</t>
        </is>
      </c>
      <c r="M47" s="10" t="inlineStr">
        <is>
          <t>No</t>
        </is>
      </c>
      <c r="N47" s="10" t="inlineStr">
        <is>
          <t>Revisar</t>
        </is>
      </c>
      <c r="O47" t="inlineStr">
        <is>
          <t>Sí</t>
        </is>
      </c>
      <c r="P47" s="10" t="inlineStr">
        <is>
          <t>Asfalto</t>
        </is>
      </c>
      <c r="S47" t="inlineStr">
        <is>
          <t>No</t>
        </is>
      </c>
      <c r="T47" t="inlineStr">
        <is>
          <t>No</t>
        </is>
      </c>
      <c r="W47" t="inlineStr">
        <is>
          <t>Sí</t>
        </is>
      </c>
      <c r="Z47" t="n">
        <v>0</v>
      </c>
      <c r="AA47" t="inlineStr">
        <is>
          <t>Sí</t>
        </is>
      </c>
      <c r="AB47" s="7" t="inlineStr"/>
      <c r="AC47" s="7" t="inlineStr"/>
    </row>
    <row r="48">
      <c r="A48" t="n">
        <v>349261744</v>
      </c>
      <c r="B48" t="inlineStr">
        <is>
          <t>I Am Single</t>
        </is>
      </c>
      <c r="C48" s="8">
        <f>IF(LEN(D48)=0,"SÍ","NO")</f>
        <v/>
      </c>
      <c r="D48" s="7">
        <f>IF(F48="","tipo; ","")&amp;IF(G48="","propulsión; ","")&amp;IF(COUNTIF(H48:M48,"Sí")=0,"uso; ","")&amp;IF(OR(N48="",N48="Revisar"),"silla de niños; ","")&amp;IF(O48="","neumáticos; ","")&amp;IF(P48="","terreno; ","")&amp;IF(AND(G48&lt;&gt;"Pedal",Q48=""),"autonomía; ","")&amp;IF(AND(G48&lt;&gt;"Pedal",R48=""),"velocidad; ","")&amp;IF(OR(S48="",S48="Revisar"),"licencia; ","")&amp;IF(T48="","plegable; ","")&amp;IF(U48="","peso; ","")&amp;IF(AND(G48&lt;&gt;"Pedal",V48=""),"carga máx; ","")&amp;IF(AND(ISNUMBER(SEARCH("Bici",F48)),COUNTIF('Altura por modelo'!$A$2:$A$2000,A48)=0),"altura; ","")&amp;IF(COUNTIFS('Altura por modelo'!$A$2:$A$2000,A48,'Altura por modelo'!$E$2:$E$2000,"")+COUNTIFS('Altura por modelo'!$A$2:$A$2000,A48,'Altura por modelo'!$F$2:$F$2000,"")&gt;0,"altura por talle; ","")&amp;IF(AA48&lt;&gt;"Sí","desactivado; ","")</f>
        <v/>
      </c>
      <c r="E48" t="inlineStr">
        <is>
          <t>Bicicletas &gt; Urbanas</t>
        </is>
      </c>
      <c r="F48" t="inlineStr">
        <is>
          <t>Bici urbana</t>
        </is>
      </c>
      <c r="G48" t="inlineStr">
        <is>
          <t>Pedal</t>
        </is>
      </c>
      <c r="H48" s="10" t="inlineStr">
        <is>
          <t>Sí</t>
        </is>
      </c>
      <c r="I48" s="10" t="inlineStr">
        <is>
          <t>Sí</t>
        </is>
      </c>
      <c r="J48" s="10" t="inlineStr">
        <is>
          <t>No</t>
        </is>
      </c>
      <c r="K48" s="10" t="inlineStr">
        <is>
          <t>No</t>
        </is>
      </c>
      <c r="L48" s="10" t="inlineStr">
        <is>
          <t>No</t>
        </is>
      </c>
      <c r="M48" s="10" t="inlineStr">
        <is>
          <t>No</t>
        </is>
      </c>
      <c r="N48" s="10" t="inlineStr">
        <is>
          <t>Revisar</t>
        </is>
      </c>
      <c r="O48" t="inlineStr">
        <is>
          <t>Sí</t>
        </is>
      </c>
      <c r="P48" s="10" t="inlineStr">
        <is>
          <t>Asfalto</t>
        </is>
      </c>
      <c r="S48" t="inlineStr">
        <is>
          <t>No</t>
        </is>
      </c>
      <c r="T48" t="inlineStr">
        <is>
          <t>No</t>
        </is>
      </c>
      <c r="W48" t="inlineStr">
        <is>
          <t>Sí</t>
        </is>
      </c>
      <c r="Z48" t="n">
        <v>0</v>
      </c>
      <c r="AA48" t="inlineStr">
        <is>
          <t>Sí</t>
        </is>
      </c>
      <c r="AB48" s="7" t="inlineStr"/>
      <c r="AC48" s="7" t="inlineStr"/>
    </row>
    <row r="49">
      <c r="A49" t="n">
        <v>349261748</v>
      </c>
      <c r="B49" t="inlineStr">
        <is>
          <t>Flower Bud Fairy</t>
        </is>
      </c>
      <c r="C49" s="8">
        <f>IF(LEN(D49)=0,"SÍ","NO")</f>
        <v/>
      </c>
      <c r="D49" s="7">
        <f>IF(F49="","tipo; ","")&amp;IF(G49="","propulsión; ","")&amp;IF(COUNTIF(H49:M49,"Sí")=0,"uso; ","")&amp;IF(OR(N49="",N49="Revisar"),"silla de niños; ","")&amp;IF(O49="","neumáticos; ","")&amp;IF(P49="","terreno; ","")&amp;IF(AND(G49&lt;&gt;"Pedal",Q49=""),"autonomía; ","")&amp;IF(AND(G49&lt;&gt;"Pedal",R49=""),"velocidad; ","")&amp;IF(OR(S49="",S49="Revisar"),"licencia; ","")&amp;IF(T49="","plegable; ","")&amp;IF(U49="","peso; ","")&amp;IF(AND(G49&lt;&gt;"Pedal",V49=""),"carga máx; ","")&amp;IF(AND(ISNUMBER(SEARCH("Bici",F49)),COUNTIF('Altura por modelo'!$A$2:$A$2000,A49)=0),"altura; ","")&amp;IF(COUNTIFS('Altura por modelo'!$A$2:$A$2000,A49,'Altura por modelo'!$E$2:$E$2000,"")+COUNTIFS('Altura por modelo'!$A$2:$A$2000,A49,'Altura por modelo'!$F$2:$F$2000,"")&gt;0,"altura por talle; ","")&amp;IF(AA49&lt;&gt;"Sí","desactivado; ","")</f>
        <v/>
      </c>
      <c r="E49" t="inlineStr">
        <is>
          <t>Bicicletas &gt; Urbanas</t>
        </is>
      </c>
      <c r="F49" t="inlineStr">
        <is>
          <t>Bici urbana</t>
        </is>
      </c>
      <c r="G49" t="inlineStr">
        <is>
          <t>Pedal</t>
        </is>
      </c>
      <c r="H49" s="10" t="inlineStr">
        <is>
          <t>Sí</t>
        </is>
      </c>
      <c r="I49" s="10" t="inlineStr">
        <is>
          <t>Sí</t>
        </is>
      </c>
      <c r="J49" s="10" t="inlineStr">
        <is>
          <t>No</t>
        </is>
      </c>
      <c r="K49" s="10" t="inlineStr">
        <is>
          <t>No</t>
        </is>
      </c>
      <c r="L49" s="10" t="inlineStr">
        <is>
          <t>No</t>
        </is>
      </c>
      <c r="M49" s="10" t="inlineStr">
        <is>
          <t>No</t>
        </is>
      </c>
      <c r="N49" s="10" t="inlineStr">
        <is>
          <t>Revisar</t>
        </is>
      </c>
      <c r="O49" t="inlineStr">
        <is>
          <t>Sí</t>
        </is>
      </c>
      <c r="P49" s="10" t="inlineStr">
        <is>
          <t>Asfalto</t>
        </is>
      </c>
      <c r="S49" t="inlineStr">
        <is>
          <t>No</t>
        </is>
      </c>
      <c r="T49" t="inlineStr">
        <is>
          <t>No</t>
        </is>
      </c>
      <c r="W49" t="inlineStr">
        <is>
          <t>Sí</t>
        </is>
      </c>
      <c r="Z49" t="n">
        <v>0</v>
      </c>
      <c r="AA49" t="inlineStr">
        <is>
          <t>Sí</t>
        </is>
      </c>
      <c r="AB49" s="7" t="inlineStr"/>
      <c r="AC49" s="7" t="inlineStr"/>
    </row>
    <row r="50">
      <c r="A50" t="n">
        <v>349261756</v>
      </c>
      <c r="B50" t="inlineStr">
        <is>
          <t>VHS Player</t>
        </is>
      </c>
      <c r="C50" s="8">
        <f>IF(LEN(D50)=0,"SÍ","NO")</f>
        <v/>
      </c>
      <c r="D50" s="7">
        <f>IF(F50="","tipo; ","")&amp;IF(G50="","propulsión; ","")&amp;IF(COUNTIF(H50:M50,"Sí")=0,"uso; ","")&amp;IF(OR(N50="",N50="Revisar"),"silla de niños; ","")&amp;IF(O50="","neumáticos; ","")&amp;IF(P50="","terreno; ","")&amp;IF(AND(G50&lt;&gt;"Pedal",Q50=""),"autonomía; ","")&amp;IF(AND(G50&lt;&gt;"Pedal",R50=""),"velocidad; ","")&amp;IF(OR(S50="",S50="Revisar"),"licencia; ","")&amp;IF(T50="","plegable; ","")&amp;IF(U50="","peso; ","")&amp;IF(AND(G50&lt;&gt;"Pedal",V50=""),"carga máx; ","")&amp;IF(AND(ISNUMBER(SEARCH("Bici",F50)),COUNTIF('Altura por modelo'!$A$2:$A$2000,A50)=0),"altura; ","")&amp;IF(COUNTIFS('Altura por modelo'!$A$2:$A$2000,A50,'Altura por modelo'!$E$2:$E$2000,"")+COUNTIFS('Altura por modelo'!$A$2:$A$2000,A50,'Altura por modelo'!$F$2:$F$2000,"")&gt;0,"altura por talle; ","")&amp;IF(AA50&lt;&gt;"Sí","desactivado; ","")</f>
        <v/>
      </c>
      <c r="E50" t="inlineStr">
        <is>
          <t>Bicicletas &gt; Urbanas</t>
        </is>
      </c>
      <c r="F50" t="inlineStr">
        <is>
          <t>Bici urbana</t>
        </is>
      </c>
      <c r="G50" t="inlineStr">
        <is>
          <t>Pedal</t>
        </is>
      </c>
      <c r="H50" s="10" t="inlineStr">
        <is>
          <t>Sí</t>
        </is>
      </c>
      <c r="I50" s="10" t="inlineStr">
        <is>
          <t>Sí</t>
        </is>
      </c>
      <c r="J50" s="10" t="inlineStr">
        <is>
          <t>No</t>
        </is>
      </c>
      <c r="K50" s="10" t="inlineStr">
        <is>
          <t>No</t>
        </is>
      </c>
      <c r="L50" s="10" t="inlineStr">
        <is>
          <t>No</t>
        </is>
      </c>
      <c r="M50" s="10" t="inlineStr">
        <is>
          <t>No</t>
        </is>
      </c>
      <c r="N50" s="10" t="inlineStr">
        <is>
          <t>Revisar</t>
        </is>
      </c>
      <c r="O50" t="inlineStr">
        <is>
          <t>Sí</t>
        </is>
      </c>
      <c r="P50" s="10" t="inlineStr">
        <is>
          <t>Asfalto</t>
        </is>
      </c>
      <c r="S50" t="inlineStr">
        <is>
          <t>No</t>
        </is>
      </c>
      <c r="T50" t="inlineStr">
        <is>
          <t>No</t>
        </is>
      </c>
      <c r="W50" t="inlineStr">
        <is>
          <t>Sí</t>
        </is>
      </c>
      <c r="Z50" t="n">
        <v>0</v>
      </c>
      <c r="AA50" t="inlineStr">
        <is>
          <t>Sí</t>
        </is>
      </c>
      <c r="AB50" s="7" t="inlineStr"/>
      <c r="AC50" s="7" t="inlineStr"/>
    </row>
    <row r="51">
      <c r="A51" t="n">
        <v>349261782</v>
      </c>
      <c r="B51" t="inlineStr">
        <is>
          <t>Lucky Clover</t>
        </is>
      </c>
      <c r="C51" s="8">
        <f>IF(LEN(D51)=0,"SÍ","NO")</f>
        <v/>
      </c>
      <c r="D51" s="7">
        <f>IF(F51="","tipo; ","")&amp;IF(G51="","propulsión; ","")&amp;IF(COUNTIF(H51:M51,"Sí")=0,"uso; ","")&amp;IF(OR(N51="",N51="Revisar"),"silla de niños; ","")&amp;IF(O51="","neumáticos; ","")&amp;IF(P51="","terreno; ","")&amp;IF(AND(G51&lt;&gt;"Pedal",Q51=""),"autonomía; ","")&amp;IF(AND(G51&lt;&gt;"Pedal",R51=""),"velocidad; ","")&amp;IF(OR(S51="",S51="Revisar"),"licencia; ","")&amp;IF(T51="","plegable; ","")&amp;IF(U51="","peso; ","")&amp;IF(AND(G51&lt;&gt;"Pedal",V51=""),"carga máx; ","")&amp;IF(AND(ISNUMBER(SEARCH("Bici",F51)),COUNTIF('Altura por modelo'!$A$2:$A$2000,A51)=0),"altura; ","")&amp;IF(COUNTIFS('Altura por modelo'!$A$2:$A$2000,A51,'Altura por modelo'!$E$2:$E$2000,"")+COUNTIFS('Altura por modelo'!$A$2:$A$2000,A51,'Altura por modelo'!$F$2:$F$2000,"")&gt;0,"altura por talle; ","")&amp;IF(AA51&lt;&gt;"Sí","desactivado; ","")</f>
        <v/>
      </c>
      <c r="E51" t="inlineStr">
        <is>
          <t>Bicicletas &gt; Urbanas</t>
        </is>
      </c>
      <c r="F51" t="inlineStr">
        <is>
          <t>Bici urbana</t>
        </is>
      </c>
      <c r="G51" t="inlineStr">
        <is>
          <t>Pedal</t>
        </is>
      </c>
      <c r="H51" s="10" t="inlineStr">
        <is>
          <t>Sí</t>
        </is>
      </c>
      <c r="I51" s="10" t="inlineStr">
        <is>
          <t>Sí</t>
        </is>
      </c>
      <c r="J51" s="10" t="inlineStr">
        <is>
          <t>No</t>
        </is>
      </c>
      <c r="K51" s="10" t="inlineStr">
        <is>
          <t>No</t>
        </is>
      </c>
      <c r="L51" s="10" t="inlineStr">
        <is>
          <t>No</t>
        </is>
      </c>
      <c r="M51" s="10" t="inlineStr">
        <is>
          <t>No</t>
        </is>
      </c>
      <c r="N51" s="10" t="inlineStr">
        <is>
          <t>Revisar</t>
        </is>
      </c>
      <c r="O51" t="inlineStr">
        <is>
          <t>Sí</t>
        </is>
      </c>
      <c r="P51" s="10" t="inlineStr">
        <is>
          <t>Asfalto</t>
        </is>
      </c>
      <c r="S51" t="inlineStr">
        <is>
          <t>No</t>
        </is>
      </c>
      <c r="T51" t="inlineStr">
        <is>
          <t>No</t>
        </is>
      </c>
      <c r="W51" t="inlineStr">
        <is>
          <t>Sí</t>
        </is>
      </c>
      <c r="Z51" t="n">
        <v>0</v>
      </c>
      <c r="AA51" t="inlineStr">
        <is>
          <t>Sí</t>
        </is>
      </c>
      <c r="AB51" s="7" t="inlineStr"/>
      <c r="AC51" s="7" t="inlineStr"/>
    </row>
    <row r="52">
      <c r="A52" t="n">
        <v>349261785</v>
      </c>
      <c r="B52" t="inlineStr">
        <is>
          <t>Lucky Clover Low</t>
        </is>
      </c>
      <c r="C52" s="8">
        <f>IF(LEN(D52)=0,"SÍ","NO")</f>
        <v/>
      </c>
      <c r="D52" s="7">
        <f>IF(F52="","tipo; ","")&amp;IF(G52="","propulsión; ","")&amp;IF(COUNTIF(H52:M52,"Sí")=0,"uso; ","")&amp;IF(OR(N52="",N52="Revisar"),"silla de niños; ","")&amp;IF(O52="","neumáticos; ","")&amp;IF(P52="","terreno; ","")&amp;IF(AND(G52&lt;&gt;"Pedal",Q52=""),"autonomía; ","")&amp;IF(AND(G52&lt;&gt;"Pedal",R52=""),"velocidad; ","")&amp;IF(OR(S52="",S52="Revisar"),"licencia; ","")&amp;IF(T52="","plegable; ","")&amp;IF(U52="","peso; ","")&amp;IF(AND(G52&lt;&gt;"Pedal",V52=""),"carga máx; ","")&amp;IF(AND(ISNUMBER(SEARCH("Bici",F52)),COUNTIF('Altura por modelo'!$A$2:$A$2000,A52)=0),"altura; ","")&amp;IF(COUNTIFS('Altura por modelo'!$A$2:$A$2000,A52,'Altura por modelo'!$E$2:$E$2000,"")+COUNTIFS('Altura por modelo'!$A$2:$A$2000,A52,'Altura por modelo'!$F$2:$F$2000,"")&gt;0,"altura por talle; ","")&amp;IF(AA52&lt;&gt;"Sí","desactivado; ","")</f>
        <v/>
      </c>
      <c r="E52" t="inlineStr">
        <is>
          <t>Bicicletas &gt; Urbanas</t>
        </is>
      </c>
      <c r="F52" t="inlineStr">
        <is>
          <t>Bici urbana</t>
        </is>
      </c>
      <c r="G52" t="inlineStr">
        <is>
          <t>Pedal</t>
        </is>
      </c>
      <c r="H52" s="10" t="inlineStr">
        <is>
          <t>Sí</t>
        </is>
      </c>
      <c r="I52" s="10" t="inlineStr">
        <is>
          <t>Sí</t>
        </is>
      </c>
      <c r="J52" s="10" t="inlineStr">
        <is>
          <t>No</t>
        </is>
      </c>
      <c r="K52" s="10" t="inlineStr">
        <is>
          <t>No</t>
        </is>
      </c>
      <c r="L52" s="10" t="inlineStr">
        <is>
          <t>No</t>
        </is>
      </c>
      <c r="M52" s="10" t="inlineStr">
        <is>
          <t>No</t>
        </is>
      </c>
      <c r="N52" s="10" t="inlineStr">
        <is>
          <t>Revisar</t>
        </is>
      </c>
      <c r="O52" t="inlineStr">
        <is>
          <t>Sí</t>
        </is>
      </c>
      <c r="P52" s="10" t="inlineStr">
        <is>
          <t>Asfalto</t>
        </is>
      </c>
      <c r="S52" t="inlineStr">
        <is>
          <t>No</t>
        </is>
      </c>
      <c r="T52" t="inlineStr">
        <is>
          <t>No</t>
        </is>
      </c>
      <c r="W52" t="inlineStr">
        <is>
          <t>Sí</t>
        </is>
      </c>
      <c r="Z52" t="n">
        <v>0</v>
      </c>
      <c r="AA52" t="inlineStr">
        <is>
          <t>Sí</t>
        </is>
      </c>
      <c r="AB52" s="7" t="inlineStr"/>
      <c r="AC52" s="7" t="inlineStr"/>
    </row>
    <row r="53">
      <c r="A53" t="n">
        <v>349261838</v>
      </c>
      <c r="B53" t="inlineStr">
        <is>
          <t>Roadkiller Disk</t>
        </is>
      </c>
      <c r="C53" s="8">
        <f>IF(LEN(D53)=0,"SÍ","NO")</f>
        <v/>
      </c>
      <c r="D53" s="7">
        <f>IF(F53="","tipo; ","")&amp;IF(G53="","propulsión; ","")&amp;IF(COUNTIF(H53:M53,"Sí")=0,"uso; ","")&amp;IF(OR(N53="",N53="Revisar"),"silla de niños; ","")&amp;IF(O53="","neumáticos; ","")&amp;IF(P53="","terreno; ","")&amp;IF(AND(G53&lt;&gt;"Pedal",Q53=""),"autonomía; ","")&amp;IF(AND(G53&lt;&gt;"Pedal",R53=""),"velocidad; ","")&amp;IF(OR(S53="",S53="Revisar"),"licencia; ","")&amp;IF(T53="","plegable; ","")&amp;IF(U53="","peso; ","")&amp;IF(AND(G53&lt;&gt;"Pedal",V53=""),"carga máx; ","")&amp;IF(AND(ISNUMBER(SEARCH("Bici",F53)),COUNTIF('Altura por modelo'!$A$2:$A$2000,A53)=0),"altura; ","")&amp;IF(COUNTIFS('Altura por modelo'!$A$2:$A$2000,A53,'Altura por modelo'!$E$2:$E$2000,"")+COUNTIFS('Altura por modelo'!$A$2:$A$2000,A53,'Altura por modelo'!$F$2:$F$2000,"")&gt;0,"altura por talle; ","")&amp;IF(AA53&lt;&gt;"Sí","desactivado; ","")</f>
        <v/>
      </c>
      <c r="E53" t="inlineStr">
        <is>
          <t>Bicicletas &gt; Urbanas</t>
        </is>
      </c>
      <c r="F53" t="inlineStr">
        <is>
          <t>Bici urbana</t>
        </is>
      </c>
      <c r="G53" t="inlineStr">
        <is>
          <t>Pedal</t>
        </is>
      </c>
      <c r="H53" s="10" t="inlineStr">
        <is>
          <t>Sí</t>
        </is>
      </c>
      <c r="I53" s="10" t="inlineStr">
        <is>
          <t>Sí</t>
        </is>
      </c>
      <c r="J53" s="10" t="inlineStr">
        <is>
          <t>No</t>
        </is>
      </c>
      <c r="K53" s="10" t="inlineStr">
        <is>
          <t>No</t>
        </is>
      </c>
      <c r="L53" s="10" t="inlineStr">
        <is>
          <t>No</t>
        </is>
      </c>
      <c r="M53" s="10" t="inlineStr">
        <is>
          <t>No</t>
        </is>
      </c>
      <c r="N53" s="10" t="inlineStr">
        <is>
          <t>Revisar</t>
        </is>
      </c>
      <c r="O53" t="inlineStr">
        <is>
          <t>Sí</t>
        </is>
      </c>
      <c r="P53" s="10" t="inlineStr">
        <is>
          <t>Asfalto</t>
        </is>
      </c>
      <c r="S53" t="inlineStr">
        <is>
          <t>No</t>
        </is>
      </c>
      <c r="T53" t="inlineStr">
        <is>
          <t>No</t>
        </is>
      </c>
      <c r="W53" t="inlineStr">
        <is>
          <t>Sí</t>
        </is>
      </c>
      <c r="Z53" t="n">
        <v>0</v>
      </c>
      <c r="AA53" t="inlineStr">
        <is>
          <t>Sí</t>
        </is>
      </c>
      <c r="AB53" s="7" t="inlineStr"/>
      <c r="AC53" s="7" t="inlineStr"/>
    </row>
    <row r="54">
      <c r="A54" t="n">
        <v>350940557</v>
      </c>
      <c r="B54" t="inlineStr">
        <is>
          <t>Kentfield 3</t>
        </is>
      </c>
      <c r="C54" s="8">
        <f>IF(LEN(D54)=0,"SÍ","NO")</f>
        <v/>
      </c>
      <c r="D54" s="7">
        <f>IF(F54="","tipo; ","")&amp;IF(G54="","propulsión; ","")&amp;IF(COUNTIF(H54:M54,"Sí")=0,"uso; ","")&amp;IF(OR(N54="",N54="Revisar"),"silla de niños; ","")&amp;IF(O54="","neumáticos; ","")&amp;IF(P54="","terreno; ","")&amp;IF(AND(G54&lt;&gt;"Pedal",Q54=""),"autonomía; ","")&amp;IF(AND(G54&lt;&gt;"Pedal",R54=""),"velocidad; ","")&amp;IF(OR(S54="",S54="Revisar"),"licencia; ","")&amp;IF(T54="","plegable; ","")&amp;IF(U54="","peso; ","")&amp;IF(AND(G54&lt;&gt;"Pedal",V54=""),"carga máx; ","")&amp;IF(AND(ISNUMBER(SEARCH("Bici",F54)),COUNTIF('Altura por modelo'!$A$2:$A$2000,A54)=0),"altura; ","")&amp;IF(COUNTIFS('Altura por modelo'!$A$2:$A$2000,A54,'Altura por modelo'!$E$2:$E$2000,"")+COUNTIFS('Altura por modelo'!$A$2:$A$2000,A54,'Altura por modelo'!$F$2:$F$2000,"")&gt;0,"altura por talle; ","")&amp;IF(AA54&lt;&gt;"Sí","desactivado; ","")</f>
        <v/>
      </c>
      <c r="E54" t="inlineStr">
        <is>
          <t>Bicicletas &gt; Urbanas</t>
        </is>
      </c>
      <c r="F54" t="inlineStr">
        <is>
          <t>Bici urbana</t>
        </is>
      </c>
      <c r="G54" t="inlineStr">
        <is>
          <t>Pedal</t>
        </is>
      </c>
      <c r="H54" s="10" t="inlineStr">
        <is>
          <t>Sí</t>
        </is>
      </c>
      <c r="I54" s="10" t="inlineStr">
        <is>
          <t>Sí</t>
        </is>
      </c>
      <c r="J54" s="10" t="inlineStr">
        <is>
          <t>No</t>
        </is>
      </c>
      <c r="K54" s="10" t="inlineStr">
        <is>
          <t>No</t>
        </is>
      </c>
      <c r="L54" s="10" t="inlineStr">
        <is>
          <t>No</t>
        </is>
      </c>
      <c r="M54" s="10" t="inlineStr">
        <is>
          <t>No</t>
        </is>
      </c>
      <c r="N54" s="10" t="inlineStr">
        <is>
          <t>Revisar</t>
        </is>
      </c>
      <c r="O54" t="inlineStr">
        <is>
          <t>Sí</t>
        </is>
      </c>
      <c r="P54" s="10" t="inlineStr">
        <is>
          <t>Asfalto</t>
        </is>
      </c>
      <c r="S54" t="inlineStr">
        <is>
          <t>No</t>
        </is>
      </c>
      <c r="T54" t="inlineStr">
        <is>
          <t>No</t>
        </is>
      </c>
      <c r="W54" t="inlineStr">
        <is>
          <t>Sí</t>
        </is>
      </c>
      <c r="Z54" t="n">
        <v>0</v>
      </c>
      <c r="AA54" t="inlineStr">
        <is>
          <t>Sí</t>
        </is>
      </c>
      <c r="AB54" s="7" t="inlineStr"/>
      <c r="AC54" s="7" t="inlineStr"/>
    </row>
    <row r="55">
      <c r="A55" t="n">
        <v>350940977</v>
      </c>
      <c r="B55" t="inlineStr">
        <is>
          <t>Kentfield 1 ST (caño bajo)</t>
        </is>
      </c>
      <c r="C55" s="8">
        <f>IF(LEN(D55)=0,"SÍ","NO")</f>
        <v/>
      </c>
      <c r="D55" s="7">
        <f>IF(F55="","tipo; ","")&amp;IF(G55="","propulsión; ","")&amp;IF(COUNTIF(H55:M55,"Sí")=0,"uso; ","")&amp;IF(OR(N55="",N55="Revisar"),"silla de niños; ","")&amp;IF(O55="","neumáticos; ","")&amp;IF(P55="","terreno; ","")&amp;IF(AND(G55&lt;&gt;"Pedal",Q55=""),"autonomía; ","")&amp;IF(AND(G55&lt;&gt;"Pedal",R55=""),"velocidad; ","")&amp;IF(OR(S55="",S55="Revisar"),"licencia; ","")&amp;IF(T55="","plegable; ","")&amp;IF(U55="","peso; ","")&amp;IF(AND(G55&lt;&gt;"Pedal",V55=""),"carga máx; ","")&amp;IF(AND(ISNUMBER(SEARCH("Bici",F55)),COUNTIF('Altura por modelo'!$A$2:$A$2000,A55)=0),"altura; ","")&amp;IF(COUNTIFS('Altura por modelo'!$A$2:$A$2000,A55,'Altura por modelo'!$E$2:$E$2000,"")+COUNTIFS('Altura por modelo'!$A$2:$A$2000,A55,'Altura por modelo'!$F$2:$F$2000,"")&gt;0,"altura por talle; ","")&amp;IF(AA55&lt;&gt;"Sí","desactivado; ","")</f>
        <v/>
      </c>
      <c r="E55" t="inlineStr">
        <is>
          <t>Bicicletas &gt; Urbanas</t>
        </is>
      </c>
      <c r="F55" t="inlineStr">
        <is>
          <t>Bici urbana</t>
        </is>
      </c>
      <c r="G55" t="inlineStr">
        <is>
          <t>Pedal</t>
        </is>
      </c>
      <c r="H55" s="10" t="inlineStr">
        <is>
          <t>Sí</t>
        </is>
      </c>
      <c r="I55" s="10" t="inlineStr">
        <is>
          <t>Sí</t>
        </is>
      </c>
      <c r="J55" s="10" t="inlineStr">
        <is>
          <t>No</t>
        </is>
      </c>
      <c r="K55" s="10" t="inlineStr">
        <is>
          <t>No</t>
        </is>
      </c>
      <c r="L55" s="10" t="inlineStr">
        <is>
          <t>No</t>
        </is>
      </c>
      <c r="M55" s="10" t="inlineStr">
        <is>
          <t>No</t>
        </is>
      </c>
      <c r="N55" s="10" t="inlineStr">
        <is>
          <t>Revisar</t>
        </is>
      </c>
      <c r="O55" t="inlineStr">
        <is>
          <t>Sí</t>
        </is>
      </c>
      <c r="P55" s="10" t="inlineStr">
        <is>
          <t>Asfalto</t>
        </is>
      </c>
      <c r="S55" t="inlineStr">
        <is>
          <t>No</t>
        </is>
      </c>
      <c r="T55" t="inlineStr">
        <is>
          <t>No</t>
        </is>
      </c>
      <c r="W55" t="inlineStr">
        <is>
          <t>Sí</t>
        </is>
      </c>
      <c r="Z55" t="n">
        <v>0</v>
      </c>
      <c r="AA55" t="inlineStr">
        <is>
          <t>Sí</t>
        </is>
      </c>
      <c r="AB55" s="7" t="inlineStr"/>
      <c r="AC55" s="7" t="inlineStr"/>
    </row>
    <row r="56">
      <c r="A56" t="n">
        <v>350941779</v>
      </c>
      <c r="B56" t="inlineStr">
        <is>
          <t>Fairfax 1 ST (caño bajo)</t>
        </is>
      </c>
      <c r="C56" s="8">
        <f>IF(LEN(D56)=0,"SÍ","NO")</f>
        <v/>
      </c>
      <c r="D56" s="7">
        <f>IF(F56="","tipo; ","")&amp;IF(G56="","propulsión; ","")&amp;IF(COUNTIF(H56:M56,"Sí")=0,"uso; ","")&amp;IF(OR(N56="",N56="Revisar"),"silla de niños; ","")&amp;IF(O56="","neumáticos; ","")&amp;IF(P56="","terreno; ","")&amp;IF(AND(G56&lt;&gt;"Pedal",Q56=""),"autonomía; ","")&amp;IF(AND(G56&lt;&gt;"Pedal",R56=""),"velocidad; ","")&amp;IF(OR(S56="",S56="Revisar"),"licencia; ","")&amp;IF(T56="","plegable; ","")&amp;IF(U56="","peso; ","")&amp;IF(AND(G56&lt;&gt;"Pedal",V56=""),"carga máx; ","")&amp;IF(AND(ISNUMBER(SEARCH("Bici",F56)),COUNTIF('Altura por modelo'!$A$2:$A$2000,A56)=0),"altura; ","")&amp;IF(COUNTIFS('Altura por modelo'!$A$2:$A$2000,A56,'Altura por modelo'!$E$2:$E$2000,"")+COUNTIFS('Altura por modelo'!$A$2:$A$2000,A56,'Altura por modelo'!$F$2:$F$2000,"")&gt;0,"altura por talle; ","")&amp;IF(AA56&lt;&gt;"Sí","desactivado; ","")</f>
        <v/>
      </c>
      <c r="E56" t="inlineStr">
        <is>
          <t>Bicicletas &gt; Urbanas</t>
        </is>
      </c>
      <c r="F56" t="inlineStr">
        <is>
          <t>Bici urbana</t>
        </is>
      </c>
      <c r="G56" t="inlineStr">
        <is>
          <t>Pedal</t>
        </is>
      </c>
      <c r="H56" s="10" t="inlineStr">
        <is>
          <t>Sí</t>
        </is>
      </c>
      <c r="I56" s="10" t="inlineStr">
        <is>
          <t>Sí</t>
        </is>
      </c>
      <c r="J56" s="10" t="inlineStr">
        <is>
          <t>No</t>
        </is>
      </c>
      <c r="K56" s="10" t="inlineStr">
        <is>
          <t>No</t>
        </is>
      </c>
      <c r="L56" s="10" t="inlineStr">
        <is>
          <t>No</t>
        </is>
      </c>
      <c r="M56" s="10" t="inlineStr">
        <is>
          <t>No</t>
        </is>
      </c>
      <c r="N56" s="10" t="inlineStr">
        <is>
          <t>Revisar</t>
        </is>
      </c>
      <c r="O56" t="inlineStr">
        <is>
          <t>Sí</t>
        </is>
      </c>
      <c r="P56" s="10" t="inlineStr">
        <is>
          <t>Asfalto</t>
        </is>
      </c>
      <c r="S56" t="inlineStr">
        <is>
          <t>No</t>
        </is>
      </c>
      <c r="T56" t="inlineStr">
        <is>
          <t>No</t>
        </is>
      </c>
      <c r="W56" t="inlineStr">
        <is>
          <t>Sí</t>
        </is>
      </c>
      <c r="Z56" t="n">
        <v>0</v>
      </c>
      <c r="AA56" t="inlineStr">
        <is>
          <t>Sí</t>
        </is>
      </c>
      <c r="AB56" s="7" t="inlineStr"/>
      <c r="AC56" s="7" t="inlineStr"/>
    </row>
    <row r="57">
      <c r="A57" t="n">
        <v>353200327</v>
      </c>
      <c r="B57" t="inlineStr">
        <is>
          <t>Fairfax 3 (2025)</t>
        </is>
      </c>
      <c r="C57" s="8">
        <f>IF(LEN(D57)=0,"SÍ","NO")</f>
        <v/>
      </c>
      <c r="D57" s="7">
        <f>IF(F57="","tipo; ","")&amp;IF(G57="","propulsión; ","")&amp;IF(COUNTIF(H57:M57,"Sí")=0,"uso; ","")&amp;IF(OR(N57="",N57="Revisar"),"silla de niños; ","")&amp;IF(O57="","neumáticos; ","")&amp;IF(P57="","terreno; ","")&amp;IF(AND(G57&lt;&gt;"Pedal",Q57=""),"autonomía; ","")&amp;IF(AND(G57&lt;&gt;"Pedal",R57=""),"velocidad; ","")&amp;IF(OR(S57="",S57="Revisar"),"licencia; ","")&amp;IF(T57="","plegable; ","")&amp;IF(U57="","peso; ","")&amp;IF(AND(G57&lt;&gt;"Pedal",V57=""),"carga máx; ","")&amp;IF(AND(ISNUMBER(SEARCH("Bici",F57)),COUNTIF('Altura por modelo'!$A$2:$A$2000,A57)=0),"altura; ","")&amp;IF(COUNTIFS('Altura por modelo'!$A$2:$A$2000,A57,'Altura por modelo'!$E$2:$E$2000,"")+COUNTIFS('Altura por modelo'!$A$2:$A$2000,A57,'Altura por modelo'!$F$2:$F$2000,"")&gt;0,"altura por talle; ","")&amp;IF(AA57&lt;&gt;"Sí","desactivado; ","")</f>
        <v/>
      </c>
      <c r="E57" t="inlineStr">
        <is>
          <t>Bicicletas &gt; Urbanas</t>
        </is>
      </c>
      <c r="F57" t="inlineStr">
        <is>
          <t>Bici urbana</t>
        </is>
      </c>
      <c r="G57" t="inlineStr">
        <is>
          <t>Pedal</t>
        </is>
      </c>
      <c r="H57" s="10" t="inlineStr">
        <is>
          <t>Sí</t>
        </is>
      </c>
      <c r="I57" s="10" t="inlineStr">
        <is>
          <t>Sí</t>
        </is>
      </c>
      <c r="J57" s="10" t="inlineStr">
        <is>
          <t>No</t>
        </is>
      </c>
      <c r="K57" s="10" t="inlineStr">
        <is>
          <t>No</t>
        </is>
      </c>
      <c r="L57" s="10" t="inlineStr">
        <is>
          <t>No</t>
        </is>
      </c>
      <c r="M57" s="10" t="inlineStr">
        <is>
          <t>No</t>
        </is>
      </c>
      <c r="N57" s="10" t="inlineStr">
        <is>
          <t>Revisar</t>
        </is>
      </c>
      <c r="O57" t="inlineStr">
        <is>
          <t>Sí</t>
        </is>
      </c>
      <c r="P57" s="10" t="inlineStr">
        <is>
          <t>Asfalto</t>
        </is>
      </c>
      <c r="S57" t="inlineStr">
        <is>
          <t>No</t>
        </is>
      </c>
      <c r="T57" t="inlineStr">
        <is>
          <t>No</t>
        </is>
      </c>
      <c r="W57" t="inlineStr">
        <is>
          <t>Sí</t>
        </is>
      </c>
      <c r="Z57" t="n">
        <v>0</v>
      </c>
      <c r="AA57" t="inlineStr">
        <is>
          <t>Sí</t>
        </is>
      </c>
      <c r="AB57" s="7" t="inlineStr"/>
      <c r="AC57" s="7" t="inlineStr"/>
    </row>
    <row r="58">
      <c r="A58" t="n">
        <v>354117226</v>
      </c>
      <c r="B58" t="inlineStr">
        <is>
          <t>Stinson 2 ST</t>
        </is>
      </c>
      <c r="C58" s="8">
        <f>IF(LEN(D58)=0,"SÍ","NO")</f>
        <v/>
      </c>
      <c r="D58" s="7">
        <f>IF(F58="","tipo; ","")&amp;IF(G58="","propulsión; ","")&amp;IF(COUNTIF(H58:M58,"Sí")=0,"uso; ","")&amp;IF(OR(N58="",N58="Revisar"),"silla de niños; ","")&amp;IF(O58="","neumáticos; ","")&amp;IF(P58="","terreno; ","")&amp;IF(AND(G58&lt;&gt;"Pedal",Q58=""),"autonomía; ","")&amp;IF(AND(G58&lt;&gt;"Pedal",R58=""),"velocidad; ","")&amp;IF(OR(S58="",S58="Revisar"),"licencia; ","")&amp;IF(T58="","plegable; ","")&amp;IF(U58="","peso; ","")&amp;IF(AND(G58&lt;&gt;"Pedal",V58=""),"carga máx; ","")&amp;IF(AND(ISNUMBER(SEARCH("Bici",F58)),COUNTIF('Altura por modelo'!$A$2:$A$2000,A58)=0),"altura; ","")&amp;IF(COUNTIFS('Altura por modelo'!$A$2:$A$2000,A58,'Altura por modelo'!$E$2:$E$2000,"")+COUNTIFS('Altura por modelo'!$A$2:$A$2000,A58,'Altura por modelo'!$F$2:$F$2000,"")&gt;0,"altura por talle; ","")&amp;IF(AA58&lt;&gt;"Sí","desactivado; ","")</f>
        <v/>
      </c>
      <c r="E58" t="inlineStr">
        <is>
          <t>Bicicletas &gt; Urbanas</t>
        </is>
      </c>
      <c r="F58" t="inlineStr">
        <is>
          <t>Bici urbana</t>
        </is>
      </c>
      <c r="G58" t="inlineStr">
        <is>
          <t>Pedal</t>
        </is>
      </c>
      <c r="H58" s="10" t="inlineStr">
        <is>
          <t>Sí</t>
        </is>
      </c>
      <c r="I58" s="10" t="inlineStr">
        <is>
          <t>Sí</t>
        </is>
      </c>
      <c r="J58" s="10" t="inlineStr">
        <is>
          <t>No</t>
        </is>
      </c>
      <c r="K58" s="10" t="inlineStr">
        <is>
          <t>No</t>
        </is>
      </c>
      <c r="L58" s="10" t="inlineStr">
        <is>
          <t>No</t>
        </is>
      </c>
      <c r="M58" s="10" t="inlineStr">
        <is>
          <t>No</t>
        </is>
      </c>
      <c r="N58" s="10" t="inlineStr">
        <is>
          <t>Revisar</t>
        </is>
      </c>
      <c r="O58" t="inlineStr">
        <is>
          <t>Sí</t>
        </is>
      </c>
      <c r="P58" s="10" t="inlineStr">
        <is>
          <t>Asfalto</t>
        </is>
      </c>
      <c r="S58" t="inlineStr">
        <is>
          <t>No</t>
        </is>
      </c>
      <c r="T58" t="inlineStr">
        <is>
          <t>No</t>
        </is>
      </c>
      <c r="W58" t="inlineStr">
        <is>
          <t>Sí</t>
        </is>
      </c>
      <c r="Z58" t="n">
        <v>0</v>
      </c>
      <c r="AA58" t="inlineStr">
        <is>
          <t>Sí</t>
        </is>
      </c>
      <c r="AB58" s="7" t="inlineStr"/>
      <c r="AC58" s="7" t="inlineStr"/>
    </row>
    <row r="59">
      <c r="A59" t="n">
        <v>349261743</v>
      </c>
      <c r="B59" t="inlineStr">
        <is>
          <t>The Tentacle</t>
        </is>
      </c>
      <c r="C59" s="8">
        <f>IF(LEN(D59)=0,"SÍ","NO")</f>
        <v/>
      </c>
      <c r="D59" s="7">
        <f>IF(F59="","tipo; ","")&amp;IF(G59="","propulsión; ","")&amp;IF(COUNTIF(H59:M59,"Sí")=0,"uso; ","")&amp;IF(OR(N59="",N59="Revisar"),"silla de niños; ","")&amp;IF(O59="","neumáticos; ","")&amp;IF(P59="","terreno; ","")&amp;IF(AND(G59&lt;&gt;"Pedal",Q59=""),"autonomía; ","")&amp;IF(AND(G59&lt;&gt;"Pedal",R59=""),"velocidad; ","")&amp;IF(OR(S59="",S59="Revisar"),"licencia; ","")&amp;IF(T59="","plegable; ","")&amp;IF(U59="","peso; ","")&amp;IF(AND(G59&lt;&gt;"Pedal",V59=""),"carga máx; ","")&amp;IF(AND(ISNUMBER(SEARCH("Bici",F59)),COUNTIF('Altura por modelo'!$A$2:$A$2000,A59)=0),"altura; ","")&amp;IF(COUNTIFS('Altura por modelo'!$A$2:$A$2000,A59,'Altura por modelo'!$E$2:$E$2000,"")+COUNTIFS('Altura por modelo'!$A$2:$A$2000,A59,'Altura por modelo'!$F$2:$F$2000,"")&gt;0,"altura por talle; ","")&amp;IF(AA59&lt;&gt;"Sí","desactivado; ","")</f>
        <v/>
      </c>
      <c r="E59" t="inlineStr">
        <is>
          <t>Bicicletas &gt; Urbanas + De Carga</t>
        </is>
      </c>
      <c r="F59" t="inlineStr">
        <is>
          <t>Bici de carga / urbana</t>
        </is>
      </c>
      <c r="G59" t="inlineStr">
        <is>
          <t>Pedal</t>
        </is>
      </c>
      <c r="H59" s="10" t="inlineStr">
        <is>
          <t>Sí</t>
        </is>
      </c>
      <c r="I59" s="10" t="inlineStr">
        <is>
          <t>Sí</t>
        </is>
      </c>
      <c r="J59" s="10" t="inlineStr">
        <is>
          <t>No</t>
        </is>
      </c>
      <c r="K59" s="10" t="inlineStr">
        <is>
          <t>Sí</t>
        </is>
      </c>
      <c r="L59" s="10" t="inlineStr">
        <is>
          <t>Sí</t>
        </is>
      </c>
      <c r="M59" s="10" t="inlineStr">
        <is>
          <t>No</t>
        </is>
      </c>
      <c r="N59" t="inlineStr">
        <is>
          <t>Sí</t>
        </is>
      </c>
      <c r="O59" t="inlineStr">
        <is>
          <t>Sí</t>
        </is>
      </c>
      <c r="P59" s="10" t="inlineStr">
        <is>
          <t>Asfalto</t>
        </is>
      </c>
      <c r="S59" t="inlineStr">
        <is>
          <t>No</t>
        </is>
      </c>
      <c r="T59" t="inlineStr">
        <is>
          <t>No</t>
        </is>
      </c>
      <c r="W59" t="inlineStr">
        <is>
          <t>No</t>
        </is>
      </c>
      <c r="Z59" t="n">
        <v>0</v>
      </c>
      <c r="AA59" t="inlineStr">
        <is>
          <t>Sí</t>
        </is>
      </c>
      <c r="AB59" s="7" t="inlineStr"/>
      <c r="AC59" s="7" t="inlineStr"/>
    </row>
    <row r="60">
      <c r="A60" t="n">
        <v>260340429</v>
      </c>
      <c r="B60" t="inlineStr">
        <is>
          <t>Link D8</t>
        </is>
      </c>
      <c r="C60" s="8">
        <f>IF(LEN(D60)=0,"SÍ","NO")</f>
        <v/>
      </c>
      <c r="D60" s="7">
        <f>IF(F60="","tipo; ","")&amp;IF(G60="","propulsión; ","")&amp;IF(COUNTIF(H60:M60,"Sí")=0,"uso; ","")&amp;IF(OR(N60="",N60="Revisar"),"silla de niños; ","")&amp;IF(O60="","neumáticos; ","")&amp;IF(P60="","terreno; ","")&amp;IF(AND(G60&lt;&gt;"Pedal",Q60=""),"autonomía; ","")&amp;IF(AND(G60&lt;&gt;"Pedal",R60=""),"velocidad; ","")&amp;IF(OR(S60="",S60="Revisar"),"licencia; ","")&amp;IF(T60="","plegable; ","")&amp;IF(U60="","peso; ","")&amp;IF(AND(G60&lt;&gt;"Pedal",V60=""),"carga máx; ","")&amp;IF(AND(ISNUMBER(SEARCH("Bici",F60)),COUNTIF('Altura por modelo'!$A$2:$A$2000,A60)=0),"altura; ","")&amp;IF(COUNTIFS('Altura por modelo'!$A$2:$A$2000,A60,'Altura por modelo'!$E$2:$E$2000,"")+COUNTIFS('Altura por modelo'!$A$2:$A$2000,A60,'Altura por modelo'!$F$2:$F$2000,"")&gt;0,"altura por talle; ","")&amp;IF(AA60&lt;&gt;"Sí","desactivado; ","")</f>
        <v/>
      </c>
      <c r="E60" t="inlineStr">
        <is>
          <t>Bicicletas &gt; Plegables</t>
        </is>
      </c>
      <c r="F60" t="inlineStr">
        <is>
          <t>Bici plegable</t>
        </is>
      </c>
      <c r="G60" t="inlineStr">
        <is>
          <t>Pedal</t>
        </is>
      </c>
      <c r="H60" s="10" t="inlineStr">
        <is>
          <t>Sí</t>
        </is>
      </c>
      <c r="I60" s="10" t="inlineStr">
        <is>
          <t>Sí</t>
        </is>
      </c>
      <c r="J60" s="10" t="inlineStr">
        <is>
          <t>No</t>
        </is>
      </c>
      <c r="K60" s="10" t="inlineStr">
        <is>
          <t>No</t>
        </is>
      </c>
      <c r="L60" s="10" t="inlineStr">
        <is>
          <t>No</t>
        </is>
      </c>
      <c r="M60" s="10" t="inlineStr">
        <is>
          <t>No</t>
        </is>
      </c>
      <c r="N60" s="10" t="inlineStr">
        <is>
          <t>Revisar</t>
        </is>
      </c>
      <c r="O60" t="inlineStr">
        <is>
          <t>Sí</t>
        </is>
      </c>
      <c r="P60" s="10" t="inlineStr">
        <is>
          <t>Asfalto</t>
        </is>
      </c>
      <c r="S60" t="inlineStr">
        <is>
          <t>No</t>
        </is>
      </c>
      <c r="T60" s="10" t="inlineStr">
        <is>
          <t>Sí</t>
        </is>
      </c>
      <c r="W60" t="inlineStr">
        <is>
          <t>No</t>
        </is>
      </c>
      <c r="Z60" t="n">
        <v>0</v>
      </c>
      <c r="AA60" t="inlineStr">
        <is>
          <t>Sí</t>
        </is>
      </c>
      <c r="AB60" s="7" t="inlineStr"/>
      <c r="AC60" s="7" t="inlineStr"/>
    </row>
    <row r="61">
      <c r="A61" t="n">
        <v>260340659</v>
      </c>
      <c r="B61" t="inlineStr">
        <is>
          <t>Node D8</t>
        </is>
      </c>
      <c r="C61" s="8">
        <f>IF(LEN(D61)=0,"SÍ","NO")</f>
        <v/>
      </c>
      <c r="D61" s="7">
        <f>IF(F61="","tipo; ","")&amp;IF(G61="","propulsión; ","")&amp;IF(COUNTIF(H61:M61,"Sí")=0,"uso; ","")&amp;IF(OR(N61="",N61="Revisar"),"silla de niños; ","")&amp;IF(O61="","neumáticos; ","")&amp;IF(P61="","terreno; ","")&amp;IF(AND(G61&lt;&gt;"Pedal",Q61=""),"autonomía; ","")&amp;IF(AND(G61&lt;&gt;"Pedal",R61=""),"velocidad; ","")&amp;IF(OR(S61="",S61="Revisar"),"licencia; ","")&amp;IF(T61="","plegable; ","")&amp;IF(U61="","peso; ","")&amp;IF(AND(G61&lt;&gt;"Pedal",V61=""),"carga máx; ","")&amp;IF(AND(ISNUMBER(SEARCH("Bici",F61)),COUNTIF('Altura por modelo'!$A$2:$A$2000,A61)=0),"altura; ","")&amp;IF(COUNTIFS('Altura por modelo'!$A$2:$A$2000,A61,'Altura por modelo'!$E$2:$E$2000,"")+COUNTIFS('Altura por modelo'!$A$2:$A$2000,A61,'Altura por modelo'!$F$2:$F$2000,"")&gt;0,"altura por talle; ","")&amp;IF(AA61&lt;&gt;"Sí","desactivado; ","")</f>
        <v/>
      </c>
      <c r="E61" t="inlineStr">
        <is>
          <t>Bicicletas &gt; Plegables</t>
        </is>
      </c>
      <c r="F61" t="inlineStr">
        <is>
          <t>Bici plegable</t>
        </is>
      </c>
      <c r="G61" t="inlineStr">
        <is>
          <t>Pedal</t>
        </is>
      </c>
      <c r="H61" s="10" t="inlineStr">
        <is>
          <t>Sí</t>
        </is>
      </c>
      <c r="I61" s="10" t="inlineStr">
        <is>
          <t>Sí</t>
        </is>
      </c>
      <c r="J61" s="10" t="inlineStr">
        <is>
          <t>No</t>
        </is>
      </c>
      <c r="K61" s="10" t="inlineStr">
        <is>
          <t>No</t>
        </is>
      </c>
      <c r="L61" s="10" t="inlineStr">
        <is>
          <t>No</t>
        </is>
      </c>
      <c r="M61" s="10" t="inlineStr">
        <is>
          <t>No</t>
        </is>
      </c>
      <c r="N61" s="10" t="inlineStr">
        <is>
          <t>Revisar</t>
        </is>
      </c>
      <c r="O61" t="inlineStr">
        <is>
          <t>Sí</t>
        </is>
      </c>
      <c r="P61" s="10" t="inlineStr">
        <is>
          <t>Asfalto</t>
        </is>
      </c>
      <c r="S61" t="inlineStr">
        <is>
          <t>No</t>
        </is>
      </c>
      <c r="T61" s="10" t="inlineStr">
        <is>
          <t>Sí</t>
        </is>
      </c>
      <c r="W61" t="inlineStr">
        <is>
          <t>No</t>
        </is>
      </c>
      <c r="Z61" t="n">
        <v>0</v>
      </c>
      <c r="AA61" t="inlineStr">
        <is>
          <t>Sí</t>
        </is>
      </c>
      <c r="AB61" s="7" t="inlineStr"/>
      <c r="AC61" s="7" t="inlineStr"/>
    </row>
    <row r="62">
      <c r="A62" t="n">
        <v>260341040</v>
      </c>
      <c r="B62" t="inlineStr">
        <is>
          <t>Link C8</t>
        </is>
      </c>
      <c r="C62" s="8">
        <f>IF(LEN(D62)=0,"SÍ","NO")</f>
        <v/>
      </c>
      <c r="D62" s="7">
        <f>IF(F62="","tipo; ","")&amp;IF(G62="","propulsión; ","")&amp;IF(COUNTIF(H62:M62,"Sí")=0,"uso; ","")&amp;IF(OR(N62="",N62="Revisar"),"silla de niños; ","")&amp;IF(O62="","neumáticos; ","")&amp;IF(P62="","terreno; ","")&amp;IF(AND(G62&lt;&gt;"Pedal",Q62=""),"autonomía; ","")&amp;IF(AND(G62&lt;&gt;"Pedal",R62=""),"velocidad; ","")&amp;IF(OR(S62="",S62="Revisar"),"licencia; ","")&amp;IF(T62="","plegable; ","")&amp;IF(U62="","peso; ","")&amp;IF(AND(G62&lt;&gt;"Pedal",V62=""),"carga máx; ","")&amp;IF(AND(ISNUMBER(SEARCH("Bici",F62)),COUNTIF('Altura por modelo'!$A$2:$A$2000,A62)=0),"altura; ","")&amp;IF(COUNTIFS('Altura por modelo'!$A$2:$A$2000,A62,'Altura por modelo'!$E$2:$E$2000,"")+COUNTIFS('Altura por modelo'!$A$2:$A$2000,A62,'Altura por modelo'!$F$2:$F$2000,"")&gt;0,"altura por talle; ","")&amp;IF(AA62&lt;&gt;"Sí","desactivado; ","")</f>
        <v/>
      </c>
      <c r="E62" t="inlineStr">
        <is>
          <t>Bicicletas &gt; Plegables</t>
        </is>
      </c>
      <c r="F62" t="inlineStr">
        <is>
          <t>Bici plegable</t>
        </is>
      </c>
      <c r="G62" t="inlineStr">
        <is>
          <t>Pedal</t>
        </is>
      </c>
      <c r="H62" s="10" t="inlineStr">
        <is>
          <t>Sí</t>
        </is>
      </c>
      <c r="I62" s="10" t="inlineStr">
        <is>
          <t>Sí</t>
        </is>
      </c>
      <c r="J62" s="10" t="inlineStr">
        <is>
          <t>No</t>
        </is>
      </c>
      <c r="K62" s="10" t="inlineStr">
        <is>
          <t>No</t>
        </is>
      </c>
      <c r="L62" s="10" t="inlineStr">
        <is>
          <t>No</t>
        </is>
      </c>
      <c r="M62" s="10" t="inlineStr">
        <is>
          <t>No</t>
        </is>
      </c>
      <c r="N62" s="10" t="inlineStr">
        <is>
          <t>Revisar</t>
        </is>
      </c>
      <c r="O62" t="inlineStr">
        <is>
          <t>Sí</t>
        </is>
      </c>
      <c r="P62" s="10" t="inlineStr">
        <is>
          <t>Asfalto</t>
        </is>
      </c>
      <c r="S62" t="inlineStr">
        <is>
          <t>No</t>
        </is>
      </c>
      <c r="T62" s="10" t="inlineStr">
        <is>
          <t>Sí</t>
        </is>
      </c>
      <c r="W62" t="inlineStr">
        <is>
          <t>No</t>
        </is>
      </c>
      <c r="Z62" t="n">
        <v>0</v>
      </c>
      <c r="AA62" t="inlineStr">
        <is>
          <t>Sí</t>
        </is>
      </c>
      <c r="AB62" s="7" t="inlineStr"/>
      <c r="AC62" s="7" t="inlineStr"/>
    </row>
    <row r="63">
      <c r="A63" t="n">
        <v>260341051</v>
      </c>
      <c r="B63" t="inlineStr">
        <is>
          <t>Node D7i</t>
        </is>
      </c>
      <c r="C63" s="8">
        <f>IF(LEN(D63)=0,"SÍ","NO")</f>
        <v/>
      </c>
      <c r="D63" s="7">
        <f>IF(F63="","tipo; ","")&amp;IF(G63="","propulsión; ","")&amp;IF(COUNTIF(H63:M63,"Sí")=0,"uso; ","")&amp;IF(OR(N63="",N63="Revisar"),"silla de niños; ","")&amp;IF(O63="","neumáticos; ","")&amp;IF(P63="","terreno; ","")&amp;IF(AND(G63&lt;&gt;"Pedal",Q63=""),"autonomía; ","")&amp;IF(AND(G63&lt;&gt;"Pedal",R63=""),"velocidad; ","")&amp;IF(OR(S63="",S63="Revisar"),"licencia; ","")&amp;IF(T63="","plegable; ","")&amp;IF(U63="","peso; ","")&amp;IF(AND(G63&lt;&gt;"Pedal",V63=""),"carga máx; ","")&amp;IF(AND(ISNUMBER(SEARCH("Bici",F63)),COUNTIF('Altura por modelo'!$A$2:$A$2000,A63)=0),"altura; ","")&amp;IF(COUNTIFS('Altura por modelo'!$A$2:$A$2000,A63,'Altura por modelo'!$E$2:$E$2000,"")+COUNTIFS('Altura por modelo'!$A$2:$A$2000,A63,'Altura por modelo'!$F$2:$F$2000,"")&gt;0,"altura por talle; ","")&amp;IF(AA63&lt;&gt;"Sí","desactivado; ","")</f>
        <v/>
      </c>
      <c r="E63" t="inlineStr">
        <is>
          <t>Bicicletas &gt; Plegables</t>
        </is>
      </c>
      <c r="F63" t="inlineStr">
        <is>
          <t>Bici plegable</t>
        </is>
      </c>
      <c r="G63" t="inlineStr">
        <is>
          <t>Pedal</t>
        </is>
      </c>
      <c r="H63" s="10" t="inlineStr">
        <is>
          <t>Sí</t>
        </is>
      </c>
      <c r="I63" s="10" t="inlineStr">
        <is>
          <t>Sí</t>
        </is>
      </c>
      <c r="J63" s="10" t="inlineStr">
        <is>
          <t>No</t>
        </is>
      </c>
      <c r="K63" s="10" t="inlineStr">
        <is>
          <t>No</t>
        </is>
      </c>
      <c r="L63" s="10" t="inlineStr">
        <is>
          <t>No</t>
        </is>
      </c>
      <c r="M63" s="10" t="inlineStr">
        <is>
          <t>No</t>
        </is>
      </c>
      <c r="N63" s="10" t="inlineStr">
        <is>
          <t>Revisar</t>
        </is>
      </c>
      <c r="O63" t="inlineStr">
        <is>
          <t>Sí</t>
        </is>
      </c>
      <c r="P63" s="10" t="inlineStr">
        <is>
          <t>Asfalto</t>
        </is>
      </c>
      <c r="S63" t="inlineStr">
        <is>
          <t>No</t>
        </is>
      </c>
      <c r="T63" s="10" t="inlineStr">
        <is>
          <t>Sí</t>
        </is>
      </c>
      <c r="W63" t="inlineStr">
        <is>
          <t>No</t>
        </is>
      </c>
      <c r="Z63" t="n">
        <v>0</v>
      </c>
      <c r="AA63" t="inlineStr">
        <is>
          <t>Sí</t>
        </is>
      </c>
      <c r="AB63" s="7" t="inlineStr"/>
      <c r="AC63" s="7" t="inlineStr"/>
    </row>
    <row r="64">
      <c r="A64" t="n">
        <v>260341563</v>
      </c>
      <c r="B64" t="inlineStr">
        <is>
          <t>Eclipse D16</t>
        </is>
      </c>
      <c r="C64" s="8">
        <f>IF(LEN(D64)=0,"SÍ","NO")</f>
        <v/>
      </c>
      <c r="D64" s="7">
        <f>IF(F64="","tipo; ","")&amp;IF(G64="","propulsión; ","")&amp;IF(COUNTIF(H64:M64,"Sí")=0,"uso; ","")&amp;IF(OR(N64="",N64="Revisar"),"silla de niños; ","")&amp;IF(O64="","neumáticos; ","")&amp;IF(P64="","terreno; ","")&amp;IF(AND(G64&lt;&gt;"Pedal",Q64=""),"autonomía; ","")&amp;IF(AND(G64&lt;&gt;"Pedal",R64=""),"velocidad; ","")&amp;IF(OR(S64="",S64="Revisar"),"licencia; ","")&amp;IF(T64="","plegable; ","")&amp;IF(U64="","peso; ","")&amp;IF(AND(G64&lt;&gt;"Pedal",V64=""),"carga máx; ","")&amp;IF(AND(ISNUMBER(SEARCH("Bici",F64)),COUNTIF('Altura por modelo'!$A$2:$A$2000,A64)=0),"altura; ","")&amp;IF(COUNTIFS('Altura por modelo'!$A$2:$A$2000,A64,'Altura por modelo'!$E$2:$E$2000,"")+COUNTIFS('Altura por modelo'!$A$2:$A$2000,A64,'Altura por modelo'!$F$2:$F$2000,"")&gt;0,"altura por talle; ","")&amp;IF(AA64&lt;&gt;"Sí","desactivado; ","")</f>
        <v/>
      </c>
      <c r="E64" t="inlineStr">
        <is>
          <t>Bicicletas &gt; Plegables</t>
        </is>
      </c>
      <c r="F64" t="inlineStr">
        <is>
          <t>Bici plegable</t>
        </is>
      </c>
      <c r="G64" t="inlineStr">
        <is>
          <t>Pedal</t>
        </is>
      </c>
      <c r="H64" s="10" t="inlineStr">
        <is>
          <t>Sí</t>
        </is>
      </c>
      <c r="I64" s="10" t="inlineStr">
        <is>
          <t>Sí</t>
        </is>
      </c>
      <c r="J64" s="10" t="inlineStr">
        <is>
          <t>No</t>
        </is>
      </c>
      <c r="K64" s="10" t="inlineStr">
        <is>
          <t>No</t>
        </is>
      </c>
      <c r="L64" s="10" t="inlineStr">
        <is>
          <t>No</t>
        </is>
      </c>
      <c r="M64" s="10" t="inlineStr">
        <is>
          <t>No</t>
        </is>
      </c>
      <c r="N64" s="10" t="inlineStr">
        <is>
          <t>Revisar</t>
        </is>
      </c>
      <c r="O64" t="inlineStr">
        <is>
          <t>Sí</t>
        </is>
      </c>
      <c r="P64" s="10" t="inlineStr">
        <is>
          <t>Asfalto</t>
        </is>
      </c>
      <c r="S64" t="inlineStr">
        <is>
          <t>No</t>
        </is>
      </c>
      <c r="T64" s="10" t="inlineStr">
        <is>
          <t>Sí</t>
        </is>
      </c>
      <c r="W64" t="inlineStr">
        <is>
          <t>No</t>
        </is>
      </c>
      <c r="Z64" t="n">
        <v>0</v>
      </c>
      <c r="AA64" t="inlineStr">
        <is>
          <t>Sí</t>
        </is>
      </c>
      <c r="AB64" s="7" t="inlineStr"/>
      <c r="AC64" s="7" t="inlineStr"/>
    </row>
    <row r="65">
      <c r="A65" t="n">
        <v>260342182</v>
      </c>
      <c r="B65" t="inlineStr">
        <is>
          <t>Link A7</t>
        </is>
      </c>
      <c r="C65" s="8">
        <f>IF(LEN(D65)=0,"SÍ","NO")</f>
        <v/>
      </c>
      <c r="D65" s="7">
        <f>IF(F65="","tipo; ","")&amp;IF(G65="","propulsión; ","")&amp;IF(COUNTIF(H65:M65,"Sí")=0,"uso; ","")&amp;IF(OR(N65="",N65="Revisar"),"silla de niños; ","")&amp;IF(O65="","neumáticos; ","")&amp;IF(P65="","terreno; ","")&amp;IF(AND(G65&lt;&gt;"Pedal",Q65=""),"autonomía; ","")&amp;IF(AND(G65&lt;&gt;"Pedal",R65=""),"velocidad; ","")&amp;IF(OR(S65="",S65="Revisar"),"licencia; ","")&amp;IF(T65="","plegable; ","")&amp;IF(U65="","peso; ","")&amp;IF(AND(G65&lt;&gt;"Pedal",V65=""),"carga máx; ","")&amp;IF(AND(ISNUMBER(SEARCH("Bici",F65)),COUNTIF('Altura por modelo'!$A$2:$A$2000,A65)=0),"altura; ","")&amp;IF(COUNTIFS('Altura por modelo'!$A$2:$A$2000,A65,'Altura por modelo'!$E$2:$E$2000,"")+COUNTIFS('Altura por modelo'!$A$2:$A$2000,A65,'Altura por modelo'!$F$2:$F$2000,"")&gt;0,"altura por talle; ","")&amp;IF(AA65&lt;&gt;"Sí","desactivado; ","")</f>
        <v/>
      </c>
      <c r="E65" t="inlineStr">
        <is>
          <t>Bicicletas &gt; Plegables</t>
        </is>
      </c>
      <c r="F65" t="inlineStr">
        <is>
          <t>Bici plegable</t>
        </is>
      </c>
      <c r="G65" t="inlineStr">
        <is>
          <t>Pedal</t>
        </is>
      </c>
      <c r="H65" s="10" t="inlineStr">
        <is>
          <t>Sí</t>
        </is>
      </c>
      <c r="I65" s="10" t="inlineStr">
        <is>
          <t>Sí</t>
        </is>
      </c>
      <c r="J65" s="10" t="inlineStr">
        <is>
          <t>No</t>
        </is>
      </c>
      <c r="K65" s="10" t="inlineStr">
        <is>
          <t>No</t>
        </is>
      </c>
      <c r="L65" s="10" t="inlineStr">
        <is>
          <t>No</t>
        </is>
      </c>
      <c r="M65" s="10" t="inlineStr">
        <is>
          <t>No</t>
        </is>
      </c>
      <c r="N65" s="10" t="inlineStr">
        <is>
          <t>Revisar</t>
        </is>
      </c>
      <c r="O65" t="inlineStr">
        <is>
          <t>Sí</t>
        </is>
      </c>
      <c r="P65" s="10" t="inlineStr">
        <is>
          <t>Asfalto</t>
        </is>
      </c>
      <c r="S65" t="inlineStr">
        <is>
          <t>No</t>
        </is>
      </c>
      <c r="T65" s="10" t="inlineStr">
        <is>
          <t>Sí</t>
        </is>
      </c>
      <c r="W65" t="inlineStr">
        <is>
          <t>No</t>
        </is>
      </c>
      <c r="Z65" t="n">
        <v>0</v>
      </c>
      <c r="AA65" t="inlineStr">
        <is>
          <t>Sí</t>
        </is>
      </c>
      <c r="AB65" s="7" t="inlineStr"/>
      <c r="AC65" s="7" t="inlineStr"/>
    </row>
    <row r="66">
      <c r="A66" t="n">
        <v>349261704</v>
      </c>
      <c r="B66" t="inlineStr">
        <is>
          <t>Hopper Mini</t>
        </is>
      </c>
      <c r="C66" s="8">
        <f>IF(LEN(D66)=0,"SÍ","NO")</f>
        <v/>
      </c>
      <c r="D66" s="7">
        <f>IF(F66="","tipo; ","")&amp;IF(G66="","propulsión; ","")&amp;IF(COUNTIF(H66:M66,"Sí")=0,"uso; ","")&amp;IF(OR(N66="",N66="Revisar"),"silla de niños; ","")&amp;IF(O66="","neumáticos; ","")&amp;IF(P66="","terreno; ","")&amp;IF(AND(G66&lt;&gt;"Pedal",Q66=""),"autonomía; ","")&amp;IF(AND(G66&lt;&gt;"Pedal",R66=""),"velocidad; ","")&amp;IF(OR(S66="",S66="Revisar"),"licencia; ","")&amp;IF(T66="","plegable; ","")&amp;IF(U66="","peso; ","")&amp;IF(AND(G66&lt;&gt;"Pedal",V66=""),"carga máx; ","")&amp;IF(AND(ISNUMBER(SEARCH("Bici",F66)),COUNTIF('Altura por modelo'!$A$2:$A$2000,A66)=0),"altura; ","")&amp;IF(COUNTIFS('Altura por modelo'!$A$2:$A$2000,A66,'Altura por modelo'!$E$2:$E$2000,"")+COUNTIFS('Altura por modelo'!$A$2:$A$2000,A66,'Altura por modelo'!$F$2:$F$2000,"")&gt;0,"altura por talle; ","")&amp;IF(AA66&lt;&gt;"Sí","desactivado; ","")</f>
        <v/>
      </c>
      <c r="E66" t="inlineStr">
        <is>
          <t>Bicicletas &gt; Plegables</t>
        </is>
      </c>
      <c r="F66" t="inlineStr">
        <is>
          <t>Bici plegable</t>
        </is>
      </c>
      <c r="G66" t="inlineStr">
        <is>
          <t>Pedal</t>
        </is>
      </c>
      <c r="H66" s="10" t="inlineStr">
        <is>
          <t>Sí</t>
        </is>
      </c>
      <c r="I66" s="10" t="inlineStr">
        <is>
          <t>Sí</t>
        </is>
      </c>
      <c r="J66" s="10" t="inlineStr">
        <is>
          <t>No</t>
        </is>
      </c>
      <c r="K66" s="10" t="inlineStr">
        <is>
          <t>No</t>
        </is>
      </c>
      <c r="L66" s="10" t="inlineStr">
        <is>
          <t>No</t>
        </is>
      </c>
      <c r="M66" s="10" t="inlineStr">
        <is>
          <t>No</t>
        </is>
      </c>
      <c r="N66" s="10" t="inlineStr">
        <is>
          <t>Revisar</t>
        </is>
      </c>
      <c r="O66" t="inlineStr">
        <is>
          <t>Sí</t>
        </is>
      </c>
      <c r="P66" s="10" t="inlineStr">
        <is>
          <t>Asfalto</t>
        </is>
      </c>
      <c r="S66" t="inlineStr">
        <is>
          <t>No</t>
        </is>
      </c>
      <c r="T66" s="10" t="inlineStr">
        <is>
          <t>Sí</t>
        </is>
      </c>
      <c r="W66" t="inlineStr">
        <is>
          <t>No</t>
        </is>
      </c>
      <c r="Z66" t="n">
        <v>0</v>
      </c>
      <c r="AA66" t="inlineStr">
        <is>
          <t>Sí</t>
        </is>
      </c>
      <c r="AB66" s="7" t="inlineStr"/>
      <c r="AC66" s="7" t="inlineStr"/>
    </row>
    <row r="67">
      <c r="A67" t="n">
        <v>349261708</v>
      </c>
      <c r="B67" t="inlineStr">
        <is>
          <t>Hopper XL</t>
        </is>
      </c>
      <c r="C67" s="8">
        <f>IF(LEN(D67)=0,"SÍ","NO")</f>
        <v/>
      </c>
      <c r="D67" s="7">
        <f>IF(F67="","tipo; ","")&amp;IF(G67="","propulsión; ","")&amp;IF(COUNTIF(H67:M67,"Sí")=0,"uso; ","")&amp;IF(OR(N67="",N67="Revisar"),"silla de niños; ","")&amp;IF(O67="","neumáticos; ","")&amp;IF(P67="","terreno; ","")&amp;IF(AND(G67&lt;&gt;"Pedal",Q67=""),"autonomía; ","")&amp;IF(AND(G67&lt;&gt;"Pedal",R67=""),"velocidad; ","")&amp;IF(OR(S67="",S67="Revisar"),"licencia; ","")&amp;IF(T67="","plegable; ","")&amp;IF(U67="","peso; ","")&amp;IF(AND(G67&lt;&gt;"Pedal",V67=""),"carga máx; ","")&amp;IF(AND(ISNUMBER(SEARCH("Bici",F67)),COUNTIF('Altura por modelo'!$A$2:$A$2000,A67)=0),"altura; ","")&amp;IF(COUNTIFS('Altura por modelo'!$A$2:$A$2000,A67,'Altura por modelo'!$E$2:$E$2000,"")+COUNTIFS('Altura por modelo'!$A$2:$A$2000,A67,'Altura por modelo'!$F$2:$F$2000,"")&gt;0,"altura por talle; ","")&amp;IF(AA67&lt;&gt;"Sí","desactivado; ","")</f>
        <v/>
      </c>
      <c r="E67" t="inlineStr">
        <is>
          <t>Bicicletas &gt; Plegables</t>
        </is>
      </c>
      <c r="F67" t="inlineStr">
        <is>
          <t>Bici plegable</t>
        </is>
      </c>
      <c r="G67" t="inlineStr">
        <is>
          <t>Pedal</t>
        </is>
      </c>
      <c r="H67" s="10" t="inlineStr">
        <is>
          <t>Sí</t>
        </is>
      </c>
      <c r="I67" s="10" t="inlineStr">
        <is>
          <t>Sí</t>
        </is>
      </c>
      <c r="J67" s="10" t="inlineStr">
        <is>
          <t>No</t>
        </is>
      </c>
      <c r="K67" s="10" t="inlineStr">
        <is>
          <t>No</t>
        </is>
      </c>
      <c r="L67" s="10" t="inlineStr">
        <is>
          <t>No</t>
        </is>
      </c>
      <c r="M67" s="10" t="inlineStr">
        <is>
          <t>No</t>
        </is>
      </c>
      <c r="N67" s="10" t="inlineStr">
        <is>
          <t>Revisar</t>
        </is>
      </c>
      <c r="O67" t="inlineStr">
        <is>
          <t>Sí</t>
        </is>
      </c>
      <c r="P67" s="10" t="inlineStr">
        <is>
          <t>Asfalto</t>
        </is>
      </c>
      <c r="S67" t="inlineStr">
        <is>
          <t>No</t>
        </is>
      </c>
      <c r="T67" s="10" t="inlineStr">
        <is>
          <t>Sí</t>
        </is>
      </c>
      <c r="W67" t="inlineStr">
        <is>
          <t>No</t>
        </is>
      </c>
      <c r="Z67" t="n">
        <v>0</v>
      </c>
      <c r="AA67" t="inlineStr">
        <is>
          <t>Sí</t>
        </is>
      </c>
      <c r="AB67" s="7" t="inlineStr"/>
      <c r="AC67" s="7" t="inlineStr"/>
    </row>
    <row r="68">
      <c r="A68" t="n">
        <v>349261749</v>
      </c>
      <c r="B68" t="inlineStr">
        <is>
          <t>Krabi V-brake</t>
        </is>
      </c>
      <c r="C68" s="8">
        <f>IF(LEN(D68)=0,"SÍ","NO")</f>
        <v/>
      </c>
      <c r="D68" s="7">
        <f>IF(F68="","tipo; ","")&amp;IF(G68="","propulsión; ","")&amp;IF(COUNTIF(H68:M68,"Sí")=0,"uso; ","")&amp;IF(OR(N68="",N68="Revisar"),"silla de niños; ","")&amp;IF(O68="","neumáticos; ","")&amp;IF(P68="","terreno; ","")&amp;IF(AND(G68&lt;&gt;"Pedal",Q68=""),"autonomía; ","")&amp;IF(AND(G68&lt;&gt;"Pedal",R68=""),"velocidad; ","")&amp;IF(OR(S68="",S68="Revisar"),"licencia; ","")&amp;IF(T68="","plegable; ","")&amp;IF(U68="","peso; ","")&amp;IF(AND(G68&lt;&gt;"Pedal",V68=""),"carga máx; ","")&amp;IF(AND(ISNUMBER(SEARCH("Bici",F68)),COUNTIF('Altura por modelo'!$A$2:$A$2000,A68)=0),"altura; ","")&amp;IF(COUNTIFS('Altura por modelo'!$A$2:$A$2000,A68,'Altura por modelo'!$E$2:$E$2000,"")+COUNTIFS('Altura por modelo'!$A$2:$A$2000,A68,'Altura por modelo'!$F$2:$F$2000,"")&gt;0,"altura por talle; ","")&amp;IF(AA68&lt;&gt;"Sí","desactivado; ","")</f>
        <v/>
      </c>
      <c r="E68" t="inlineStr">
        <is>
          <t>Bicicletas &gt; Plegables</t>
        </is>
      </c>
      <c r="F68" t="inlineStr">
        <is>
          <t>Bici plegable</t>
        </is>
      </c>
      <c r="G68" t="inlineStr">
        <is>
          <t>Pedal</t>
        </is>
      </c>
      <c r="H68" s="10" t="inlineStr">
        <is>
          <t>Sí</t>
        </is>
      </c>
      <c r="I68" s="10" t="inlineStr">
        <is>
          <t>Sí</t>
        </is>
      </c>
      <c r="J68" s="10" t="inlineStr">
        <is>
          <t>No</t>
        </is>
      </c>
      <c r="K68" s="10" t="inlineStr">
        <is>
          <t>No</t>
        </is>
      </c>
      <c r="L68" s="10" t="inlineStr">
        <is>
          <t>No</t>
        </is>
      </c>
      <c r="M68" s="10" t="inlineStr">
        <is>
          <t>No</t>
        </is>
      </c>
      <c r="N68" s="10" t="inlineStr">
        <is>
          <t>Revisar</t>
        </is>
      </c>
      <c r="O68" t="inlineStr">
        <is>
          <t>Sí</t>
        </is>
      </c>
      <c r="P68" s="10" t="inlineStr">
        <is>
          <t>Asfalto</t>
        </is>
      </c>
      <c r="S68" t="inlineStr">
        <is>
          <t>No</t>
        </is>
      </c>
      <c r="T68" s="10" t="inlineStr">
        <is>
          <t>Sí</t>
        </is>
      </c>
      <c r="W68" t="inlineStr">
        <is>
          <t>No</t>
        </is>
      </c>
      <c r="Z68" t="n">
        <v>0</v>
      </c>
      <c r="AA68" t="inlineStr">
        <is>
          <t>Sí</t>
        </is>
      </c>
      <c r="AB68" s="7" t="inlineStr"/>
      <c r="AC68" s="7" t="inlineStr"/>
    </row>
    <row r="69">
      <c r="A69" t="n">
        <v>349261759</v>
      </c>
      <c r="B69" t="inlineStr">
        <is>
          <t>Krabi Disk</t>
        </is>
      </c>
      <c r="C69" s="8">
        <f>IF(LEN(D69)=0,"SÍ","NO")</f>
        <v/>
      </c>
      <c r="D69" s="7">
        <f>IF(F69="","tipo; ","")&amp;IF(G69="","propulsión; ","")&amp;IF(COUNTIF(H69:M69,"Sí")=0,"uso; ","")&amp;IF(OR(N69="",N69="Revisar"),"silla de niños; ","")&amp;IF(O69="","neumáticos; ","")&amp;IF(P69="","terreno; ","")&amp;IF(AND(G69&lt;&gt;"Pedal",Q69=""),"autonomía; ","")&amp;IF(AND(G69&lt;&gt;"Pedal",R69=""),"velocidad; ","")&amp;IF(OR(S69="",S69="Revisar"),"licencia; ","")&amp;IF(T69="","plegable; ","")&amp;IF(U69="","peso; ","")&amp;IF(AND(G69&lt;&gt;"Pedal",V69=""),"carga máx; ","")&amp;IF(AND(ISNUMBER(SEARCH("Bici",F69)),COUNTIF('Altura por modelo'!$A$2:$A$2000,A69)=0),"altura; ","")&amp;IF(COUNTIFS('Altura por modelo'!$A$2:$A$2000,A69,'Altura por modelo'!$E$2:$E$2000,"")+COUNTIFS('Altura por modelo'!$A$2:$A$2000,A69,'Altura por modelo'!$F$2:$F$2000,"")&gt;0,"altura por talle; ","")&amp;IF(AA69&lt;&gt;"Sí","desactivado; ","")</f>
        <v/>
      </c>
      <c r="E69" t="inlineStr">
        <is>
          <t>Bicicletas &gt; Plegables</t>
        </is>
      </c>
      <c r="F69" t="inlineStr">
        <is>
          <t>Bici plegable</t>
        </is>
      </c>
      <c r="G69" t="inlineStr">
        <is>
          <t>Pedal</t>
        </is>
      </c>
      <c r="H69" s="10" t="inlineStr">
        <is>
          <t>Sí</t>
        </is>
      </c>
      <c r="I69" s="10" t="inlineStr">
        <is>
          <t>Sí</t>
        </is>
      </c>
      <c r="J69" s="10" t="inlineStr">
        <is>
          <t>No</t>
        </is>
      </c>
      <c r="K69" s="10" t="inlineStr">
        <is>
          <t>No</t>
        </is>
      </c>
      <c r="L69" s="10" t="inlineStr">
        <is>
          <t>No</t>
        </is>
      </c>
      <c r="M69" s="10" t="inlineStr">
        <is>
          <t>No</t>
        </is>
      </c>
      <c r="N69" s="10" t="inlineStr">
        <is>
          <t>Revisar</t>
        </is>
      </c>
      <c r="O69" t="inlineStr">
        <is>
          <t>Sí</t>
        </is>
      </c>
      <c r="P69" s="10" t="inlineStr">
        <is>
          <t>Asfalto</t>
        </is>
      </c>
      <c r="S69" t="inlineStr">
        <is>
          <t>No</t>
        </is>
      </c>
      <c r="T69" s="10" t="inlineStr">
        <is>
          <t>Sí</t>
        </is>
      </c>
      <c r="W69" t="inlineStr">
        <is>
          <t>No</t>
        </is>
      </c>
      <c r="Z69" t="n">
        <v>0</v>
      </c>
      <c r="AA69" t="inlineStr">
        <is>
          <t>Sí</t>
        </is>
      </c>
      <c r="AB69" s="7" t="inlineStr"/>
      <c r="AC69" s="7" t="inlineStr"/>
    </row>
    <row r="70">
      <c r="A70" t="n">
        <v>349261760</v>
      </c>
      <c r="B70" t="inlineStr">
        <is>
          <t>Lentus Mini</t>
        </is>
      </c>
      <c r="C70" s="8">
        <f>IF(LEN(D70)=0,"SÍ","NO")</f>
        <v/>
      </c>
      <c r="D70" s="7">
        <f>IF(F70="","tipo; ","")&amp;IF(G70="","propulsión; ","")&amp;IF(COUNTIF(H70:M70,"Sí")=0,"uso; ","")&amp;IF(OR(N70="",N70="Revisar"),"silla de niños; ","")&amp;IF(O70="","neumáticos; ","")&amp;IF(P70="","terreno; ","")&amp;IF(AND(G70&lt;&gt;"Pedal",Q70=""),"autonomía; ","")&amp;IF(AND(G70&lt;&gt;"Pedal",R70=""),"velocidad; ","")&amp;IF(OR(S70="",S70="Revisar"),"licencia; ","")&amp;IF(T70="","plegable; ","")&amp;IF(U70="","peso; ","")&amp;IF(AND(G70&lt;&gt;"Pedal",V70=""),"carga máx; ","")&amp;IF(AND(ISNUMBER(SEARCH("Bici",F70)),COUNTIF('Altura por modelo'!$A$2:$A$2000,A70)=0),"altura; ","")&amp;IF(COUNTIFS('Altura por modelo'!$A$2:$A$2000,A70,'Altura por modelo'!$E$2:$E$2000,"")+COUNTIFS('Altura por modelo'!$A$2:$A$2000,A70,'Altura por modelo'!$F$2:$F$2000,"")&gt;0,"altura por talle; ","")&amp;IF(AA70&lt;&gt;"Sí","desactivado; ","")</f>
        <v/>
      </c>
      <c r="E70" t="inlineStr">
        <is>
          <t>Bicicletas &gt; Plegables</t>
        </is>
      </c>
      <c r="F70" t="inlineStr">
        <is>
          <t>Bici plegable</t>
        </is>
      </c>
      <c r="G70" t="inlineStr">
        <is>
          <t>Pedal</t>
        </is>
      </c>
      <c r="H70" s="10" t="inlineStr">
        <is>
          <t>Sí</t>
        </is>
      </c>
      <c r="I70" s="10" t="inlineStr">
        <is>
          <t>Sí</t>
        </is>
      </c>
      <c r="J70" s="10" t="inlineStr">
        <is>
          <t>No</t>
        </is>
      </c>
      <c r="K70" s="10" t="inlineStr">
        <is>
          <t>No</t>
        </is>
      </c>
      <c r="L70" s="10" t="inlineStr">
        <is>
          <t>No</t>
        </is>
      </c>
      <c r="M70" s="10" t="inlineStr">
        <is>
          <t>No</t>
        </is>
      </c>
      <c r="N70" s="10" t="inlineStr">
        <is>
          <t>Revisar</t>
        </is>
      </c>
      <c r="O70" t="inlineStr">
        <is>
          <t>Sí</t>
        </is>
      </c>
      <c r="P70" s="10" t="inlineStr">
        <is>
          <t>Asfalto</t>
        </is>
      </c>
      <c r="S70" t="inlineStr">
        <is>
          <t>No</t>
        </is>
      </c>
      <c r="T70" s="10" t="inlineStr">
        <is>
          <t>Sí</t>
        </is>
      </c>
      <c r="W70" t="inlineStr">
        <is>
          <t>No</t>
        </is>
      </c>
      <c r="Z70" t="n">
        <v>0</v>
      </c>
      <c r="AA70" t="inlineStr">
        <is>
          <t>Sí</t>
        </is>
      </c>
      <c r="AB70" s="7" t="inlineStr"/>
      <c r="AC70" s="7" t="inlineStr"/>
    </row>
    <row r="71">
      <c r="A71" t="n">
        <v>349261768</v>
      </c>
      <c r="B71" t="inlineStr">
        <is>
          <t>GOA V-brake</t>
        </is>
      </c>
      <c r="C71" s="8">
        <f>IF(LEN(D71)=0,"SÍ","NO")</f>
        <v/>
      </c>
      <c r="D71" s="7">
        <f>IF(F71="","tipo; ","")&amp;IF(G71="","propulsión; ","")&amp;IF(COUNTIF(H71:M71,"Sí")=0,"uso; ","")&amp;IF(OR(N71="",N71="Revisar"),"silla de niños; ","")&amp;IF(O71="","neumáticos; ","")&amp;IF(P71="","terreno; ","")&amp;IF(AND(G71&lt;&gt;"Pedal",Q71=""),"autonomía; ","")&amp;IF(AND(G71&lt;&gt;"Pedal",R71=""),"velocidad; ","")&amp;IF(OR(S71="",S71="Revisar"),"licencia; ","")&amp;IF(T71="","plegable; ","")&amp;IF(U71="","peso; ","")&amp;IF(AND(G71&lt;&gt;"Pedal",V71=""),"carga máx; ","")&amp;IF(AND(ISNUMBER(SEARCH("Bici",F71)),COUNTIF('Altura por modelo'!$A$2:$A$2000,A71)=0),"altura; ","")&amp;IF(COUNTIFS('Altura por modelo'!$A$2:$A$2000,A71,'Altura por modelo'!$E$2:$E$2000,"")+COUNTIFS('Altura por modelo'!$A$2:$A$2000,A71,'Altura por modelo'!$F$2:$F$2000,"")&gt;0,"altura por talle; ","")&amp;IF(AA71&lt;&gt;"Sí","desactivado; ","")</f>
        <v/>
      </c>
      <c r="E71" t="inlineStr">
        <is>
          <t>Bicicletas &gt; Plegables</t>
        </is>
      </c>
      <c r="F71" t="inlineStr">
        <is>
          <t>Bici plegable</t>
        </is>
      </c>
      <c r="G71" t="inlineStr">
        <is>
          <t>Pedal</t>
        </is>
      </c>
      <c r="H71" s="10" t="inlineStr">
        <is>
          <t>Sí</t>
        </is>
      </c>
      <c r="I71" s="10" t="inlineStr">
        <is>
          <t>Sí</t>
        </is>
      </c>
      <c r="J71" s="10" t="inlineStr">
        <is>
          <t>No</t>
        </is>
      </c>
      <c r="K71" s="10" t="inlineStr">
        <is>
          <t>No</t>
        </is>
      </c>
      <c r="L71" s="10" t="inlineStr">
        <is>
          <t>No</t>
        </is>
      </c>
      <c r="M71" s="10" t="inlineStr">
        <is>
          <t>No</t>
        </is>
      </c>
      <c r="N71" s="10" t="inlineStr">
        <is>
          <t>Revisar</t>
        </is>
      </c>
      <c r="O71" t="inlineStr">
        <is>
          <t>Sí</t>
        </is>
      </c>
      <c r="P71" s="10" t="inlineStr">
        <is>
          <t>Asfalto</t>
        </is>
      </c>
      <c r="S71" t="inlineStr">
        <is>
          <t>No</t>
        </is>
      </c>
      <c r="T71" s="10" t="inlineStr">
        <is>
          <t>Sí</t>
        </is>
      </c>
      <c r="W71" t="inlineStr">
        <is>
          <t>No</t>
        </is>
      </c>
      <c r="Z71" t="n">
        <v>0</v>
      </c>
      <c r="AA71" t="inlineStr">
        <is>
          <t>Sí</t>
        </is>
      </c>
      <c r="AB71" s="7" t="inlineStr"/>
      <c r="AC71" s="7" t="inlineStr"/>
    </row>
    <row r="72">
      <c r="A72" t="n">
        <v>349261771</v>
      </c>
      <c r="B72" t="inlineStr">
        <is>
          <t>Easy Disk</t>
        </is>
      </c>
      <c r="C72" s="8">
        <f>IF(LEN(D72)=0,"SÍ","NO")</f>
        <v/>
      </c>
      <c r="D72" s="7">
        <f>IF(F72="","tipo; ","")&amp;IF(G72="","propulsión; ","")&amp;IF(COUNTIF(H72:M72,"Sí")=0,"uso; ","")&amp;IF(OR(N72="",N72="Revisar"),"silla de niños; ","")&amp;IF(O72="","neumáticos; ","")&amp;IF(P72="","terreno; ","")&amp;IF(AND(G72&lt;&gt;"Pedal",Q72=""),"autonomía; ","")&amp;IF(AND(G72&lt;&gt;"Pedal",R72=""),"velocidad; ","")&amp;IF(OR(S72="",S72="Revisar"),"licencia; ","")&amp;IF(T72="","plegable; ","")&amp;IF(U72="","peso; ","")&amp;IF(AND(G72&lt;&gt;"Pedal",V72=""),"carga máx; ","")&amp;IF(AND(ISNUMBER(SEARCH("Bici",F72)),COUNTIF('Altura por modelo'!$A$2:$A$2000,A72)=0),"altura; ","")&amp;IF(COUNTIFS('Altura por modelo'!$A$2:$A$2000,A72,'Altura por modelo'!$E$2:$E$2000,"")+COUNTIFS('Altura por modelo'!$A$2:$A$2000,A72,'Altura por modelo'!$F$2:$F$2000,"")&gt;0,"altura por talle; ","")&amp;IF(AA72&lt;&gt;"Sí","desactivado; ","")</f>
        <v/>
      </c>
      <c r="E72" t="inlineStr">
        <is>
          <t>Bicicletas &gt; Plegables</t>
        </is>
      </c>
      <c r="F72" t="inlineStr">
        <is>
          <t>Bici plegable</t>
        </is>
      </c>
      <c r="G72" t="inlineStr">
        <is>
          <t>Pedal</t>
        </is>
      </c>
      <c r="H72" s="10" t="inlineStr">
        <is>
          <t>Sí</t>
        </is>
      </c>
      <c r="I72" s="10" t="inlineStr">
        <is>
          <t>Sí</t>
        </is>
      </c>
      <c r="J72" s="10" t="inlineStr">
        <is>
          <t>No</t>
        </is>
      </c>
      <c r="K72" s="10" t="inlineStr">
        <is>
          <t>No</t>
        </is>
      </c>
      <c r="L72" s="10" t="inlineStr">
        <is>
          <t>No</t>
        </is>
      </c>
      <c r="M72" s="10" t="inlineStr">
        <is>
          <t>No</t>
        </is>
      </c>
      <c r="N72" s="10" t="inlineStr">
        <is>
          <t>Revisar</t>
        </is>
      </c>
      <c r="O72" t="inlineStr">
        <is>
          <t>Sí</t>
        </is>
      </c>
      <c r="P72" s="10" t="inlineStr">
        <is>
          <t>Asfalto</t>
        </is>
      </c>
      <c r="S72" t="inlineStr">
        <is>
          <t>No</t>
        </is>
      </c>
      <c r="T72" s="10" t="inlineStr">
        <is>
          <t>Sí</t>
        </is>
      </c>
      <c r="W72" t="inlineStr">
        <is>
          <t>No</t>
        </is>
      </c>
      <c r="Z72" t="n">
        <v>0</v>
      </c>
      <c r="AA72" t="inlineStr">
        <is>
          <t>Sí</t>
        </is>
      </c>
      <c r="AB72" s="7" t="inlineStr"/>
      <c r="AC72" s="7" t="inlineStr"/>
    </row>
    <row r="73">
      <c r="A73" t="n">
        <v>349261778</v>
      </c>
      <c r="B73" t="inlineStr">
        <is>
          <t>Easy Fat</t>
        </is>
      </c>
      <c r="C73" s="8">
        <f>IF(LEN(D73)=0,"SÍ","NO")</f>
        <v/>
      </c>
      <c r="D73" s="7">
        <f>IF(F73="","tipo; ","")&amp;IF(G73="","propulsión; ","")&amp;IF(COUNTIF(H73:M73,"Sí")=0,"uso; ","")&amp;IF(OR(N73="",N73="Revisar"),"silla de niños; ","")&amp;IF(O73="","neumáticos; ","")&amp;IF(P73="","terreno; ","")&amp;IF(AND(G73&lt;&gt;"Pedal",Q73=""),"autonomía; ","")&amp;IF(AND(G73&lt;&gt;"Pedal",R73=""),"velocidad; ","")&amp;IF(OR(S73="",S73="Revisar"),"licencia; ","")&amp;IF(T73="","plegable; ","")&amp;IF(U73="","peso; ","")&amp;IF(AND(G73&lt;&gt;"Pedal",V73=""),"carga máx; ","")&amp;IF(AND(ISNUMBER(SEARCH("Bici",F73)),COUNTIF('Altura por modelo'!$A$2:$A$2000,A73)=0),"altura; ","")&amp;IF(COUNTIFS('Altura por modelo'!$A$2:$A$2000,A73,'Altura por modelo'!$E$2:$E$2000,"")+COUNTIFS('Altura por modelo'!$A$2:$A$2000,A73,'Altura por modelo'!$F$2:$F$2000,"")&gt;0,"altura por talle; ","")&amp;IF(AA73&lt;&gt;"Sí","desactivado; ","")</f>
        <v/>
      </c>
      <c r="E73" t="inlineStr">
        <is>
          <t>Bicicletas &gt; Plegables</t>
        </is>
      </c>
      <c r="F73" t="inlineStr">
        <is>
          <t>Bici plegable</t>
        </is>
      </c>
      <c r="G73" t="inlineStr">
        <is>
          <t>Pedal</t>
        </is>
      </c>
      <c r="H73" s="10" t="inlineStr">
        <is>
          <t>Sí</t>
        </is>
      </c>
      <c r="I73" s="10" t="inlineStr">
        <is>
          <t>Sí</t>
        </is>
      </c>
      <c r="J73" s="10" t="inlineStr">
        <is>
          <t>No</t>
        </is>
      </c>
      <c r="K73" s="10" t="inlineStr">
        <is>
          <t>No</t>
        </is>
      </c>
      <c r="L73" s="10" t="inlineStr">
        <is>
          <t>No</t>
        </is>
      </c>
      <c r="M73" s="10" t="inlineStr">
        <is>
          <t>No</t>
        </is>
      </c>
      <c r="N73" s="10" t="inlineStr">
        <is>
          <t>Revisar</t>
        </is>
      </c>
      <c r="O73" t="inlineStr">
        <is>
          <t>Sí</t>
        </is>
      </c>
      <c r="P73" s="10" t="inlineStr">
        <is>
          <t>Asfalto</t>
        </is>
      </c>
      <c r="S73" t="inlineStr">
        <is>
          <t>No</t>
        </is>
      </c>
      <c r="T73" s="10" t="inlineStr">
        <is>
          <t>Sí</t>
        </is>
      </c>
      <c r="W73" t="inlineStr">
        <is>
          <t>No</t>
        </is>
      </c>
      <c r="Z73" t="n">
        <v>0</v>
      </c>
      <c r="AA73" t="inlineStr">
        <is>
          <t>Sí</t>
        </is>
      </c>
      <c r="AB73" s="7" t="inlineStr"/>
      <c r="AC73" s="7" t="inlineStr"/>
    </row>
    <row r="74">
      <c r="A74" t="n">
        <v>349261789</v>
      </c>
      <c r="B74" t="inlineStr">
        <is>
          <t>Easy 8</t>
        </is>
      </c>
      <c r="C74" s="8">
        <f>IF(LEN(D74)=0,"SÍ","NO")</f>
        <v/>
      </c>
      <c r="D74" s="7">
        <f>IF(F74="","tipo; ","")&amp;IF(G74="","propulsión; ","")&amp;IF(COUNTIF(H74:M74,"Sí")=0,"uso; ","")&amp;IF(OR(N74="",N74="Revisar"),"silla de niños; ","")&amp;IF(O74="","neumáticos; ","")&amp;IF(P74="","terreno; ","")&amp;IF(AND(G74&lt;&gt;"Pedal",Q74=""),"autonomía; ","")&amp;IF(AND(G74&lt;&gt;"Pedal",R74=""),"velocidad; ","")&amp;IF(OR(S74="",S74="Revisar"),"licencia; ","")&amp;IF(T74="","plegable; ","")&amp;IF(U74="","peso; ","")&amp;IF(AND(G74&lt;&gt;"Pedal",V74=""),"carga máx; ","")&amp;IF(AND(ISNUMBER(SEARCH("Bici",F74)),COUNTIF('Altura por modelo'!$A$2:$A$2000,A74)=0),"altura; ","")&amp;IF(COUNTIFS('Altura por modelo'!$A$2:$A$2000,A74,'Altura por modelo'!$E$2:$E$2000,"")+COUNTIFS('Altura por modelo'!$A$2:$A$2000,A74,'Altura por modelo'!$F$2:$F$2000,"")&gt;0,"altura por talle; ","")&amp;IF(AA74&lt;&gt;"Sí","desactivado; ","")</f>
        <v/>
      </c>
      <c r="E74" t="inlineStr">
        <is>
          <t>Bicicletas &gt; Plegables</t>
        </is>
      </c>
      <c r="F74" t="inlineStr">
        <is>
          <t>Bici plegable</t>
        </is>
      </c>
      <c r="G74" t="inlineStr">
        <is>
          <t>Pedal</t>
        </is>
      </c>
      <c r="H74" s="10" t="inlineStr">
        <is>
          <t>Sí</t>
        </is>
      </c>
      <c r="I74" s="10" t="inlineStr">
        <is>
          <t>Sí</t>
        </is>
      </c>
      <c r="J74" s="10" t="inlineStr">
        <is>
          <t>No</t>
        </is>
      </c>
      <c r="K74" s="10" t="inlineStr">
        <is>
          <t>No</t>
        </is>
      </c>
      <c r="L74" s="10" t="inlineStr">
        <is>
          <t>No</t>
        </is>
      </c>
      <c r="M74" s="10" t="inlineStr">
        <is>
          <t>No</t>
        </is>
      </c>
      <c r="N74" s="10" t="inlineStr">
        <is>
          <t>Revisar</t>
        </is>
      </c>
      <c r="O74" t="inlineStr">
        <is>
          <t>Sí</t>
        </is>
      </c>
      <c r="P74" s="10" t="inlineStr">
        <is>
          <t>Asfalto</t>
        </is>
      </c>
      <c r="S74" t="inlineStr">
        <is>
          <t>No</t>
        </is>
      </c>
      <c r="T74" s="10" t="inlineStr">
        <is>
          <t>Sí</t>
        </is>
      </c>
      <c r="W74" t="inlineStr">
        <is>
          <t>No</t>
        </is>
      </c>
      <c r="Z74" t="n">
        <v>0</v>
      </c>
      <c r="AA74" t="inlineStr">
        <is>
          <t>Sí</t>
        </is>
      </c>
      <c r="AB74" s="7" t="inlineStr"/>
      <c r="AC74" s="7" t="inlineStr"/>
    </row>
    <row r="75">
      <c r="A75" t="n">
        <v>349261794</v>
      </c>
      <c r="B75" t="inlineStr">
        <is>
          <t>Speed Disk</t>
        </is>
      </c>
      <c r="C75" s="8">
        <f>IF(LEN(D75)=0,"SÍ","NO")</f>
        <v/>
      </c>
      <c r="D75" s="7">
        <f>IF(F75="","tipo; ","")&amp;IF(G75="","propulsión; ","")&amp;IF(COUNTIF(H75:M75,"Sí")=0,"uso; ","")&amp;IF(OR(N75="",N75="Revisar"),"silla de niños; ","")&amp;IF(O75="","neumáticos; ","")&amp;IF(P75="","terreno; ","")&amp;IF(AND(G75&lt;&gt;"Pedal",Q75=""),"autonomía; ","")&amp;IF(AND(G75&lt;&gt;"Pedal",R75=""),"velocidad; ","")&amp;IF(OR(S75="",S75="Revisar"),"licencia; ","")&amp;IF(T75="","plegable; ","")&amp;IF(U75="","peso; ","")&amp;IF(AND(G75&lt;&gt;"Pedal",V75=""),"carga máx; ","")&amp;IF(AND(ISNUMBER(SEARCH("Bici",F75)),COUNTIF('Altura por modelo'!$A$2:$A$2000,A75)=0),"altura; ","")&amp;IF(COUNTIFS('Altura por modelo'!$A$2:$A$2000,A75,'Altura por modelo'!$E$2:$E$2000,"")+COUNTIFS('Altura por modelo'!$A$2:$A$2000,A75,'Altura por modelo'!$F$2:$F$2000,"")&gt;0,"altura por talle; ","")&amp;IF(AA75&lt;&gt;"Sí","desactivado; ","")</f>
        <v/>
      </c>
      <c r="E75" t="inlineStr">
        <is>
          <t>Bicicletas &gt; Plegables</t>
        </is>
      </c>
      <c r="F75" t="inlineStr">
        <is>
          <t>Bici plegable</t>
        </is>
      </c>
      <c r="G75" t="inlineStr">
        <is>
          <t>Pedal</t>
        </is>
      </c>
      <c r="H75" s="10" t="inlineStr">
        <is>
          <t>Sí</t>
        </is>
      </c>
      <c r="I75" s="10" t="inlineStr">
        <is>
          <t>Sí</t>
        </is>
      </c>
      <c r="J75" s="10" t="inlineStr">
        <is>
          <t>No</t>
        </is>
      </c>
      <c r="K75" s="10" t="inlineStr">
        <is>
          <t>No</t>
        </is>
      </c>
      <c r="L75" s="10" t="inlineStr">
        <is>
          <t>No</t>
        </is>
      </c>
      <c r="M75" s="10" t="inlineStr">
        <is>
          <t>No</t>
        </is>
      </c>
      <c r="N75" s="10" t="inlineStr">
        <is>
          <t>Revisar</t>
        </is>
      </c>
      <c r="O75" t="inlineStr">
        <is>
          <t>Sí</t>
        </is>
      </c>
      <c r="P75" s="10" t="inlineStr">
        <is>
          <t>Asfalto</t>
        </is>
      </c>
      <c r="S75" t="inlineStr">
        <is>
          <t>No</t>
        </is>
      </c>
      <c r="T75" s="10" t="inlineStr">
        <is>
          <t>Sí</t>
        </is>
      </c>
      <c r="W75" t="inlineStr">
        <is>
          <t>No</t>
        </is>
      </c>
      <c r="Z75" t="n">
        <v>0</v>
      </c>
      <c r="AA75" t="inlineStr">
        <is>
          <t>Sí</t>
        </is>
      </c>
      <c r="AB75" s="7" t="inlineStr"/>
      <c r="AC75" s="7" t="inlineStr"/>
    </row>
    <row r="76">
      <c r="A76" t="n">
        <v>349261833</v>
      </c>
      <c r="B76" t="inlineStr">
        <is>
          <t>Easy Fat Nexus</t>
        </is>
      </c>
      <c r="C76" s="8">
        <f>IF(LEN(D76)=0,"SÍ","NO")</f>
        <v/>
      </c>
      <c r="D76" s="7">
        <f>IF(F76="","tipo; ","")&amp;IF(G76="","propulsión; ","")&amp;IF(COUNTIF(H76:M76,"Sí")=0,"uso; ","")&amp;IF(OR(N76="",N76="Revisar"),"silla de niños; ","")&amp;IF(O76="","neumáticos; ","")&amp;IF(P76="","terreno; ","")&amp;IF(AND(G76&lt;&gt;"Pedal",Q76=""),"autonomía; ","")&amp;IF(AND(G76&lt;&gt;"Pedal",R76=""),"velocidad; ","")&amp;IF(OR(S76="",S76="Revisar"),"licencia; ","")&amp;IF(T76="","plegable; ","")&amp;IF(U76="","peso; ","")&amp;IF(AND(G76&lt;&gt;"Pedal",V76=""),"carga máx; ","")&amp;IF(AND(ISNUMBER(SEARCH("Bici",F76)),COUNTIF('Altura por modelo'!$A$2:$A$2000,A76)=0),"altura; ","")&amp;IF(COUNTIFS('Altura por modelo'!$A$2:$A$2000,A76,'Altura por modelo'!$E$2:$E$2000,"")+COUNTIFS('Altura por modelo'!$A$2:$A$2000,A76,'Altura por modelo'!$F$2:$F$2000,"")&gt;0,"altura por talle; ","")&amp;IF(AA76&lt;&gt;"Sí","desactivado; ","")</f>
        <v/>
      </c>
      <c r="E76" t="inlineStr">
        <is>
          <t>Bicicletas &gt; Plegables</t>
        </is>
      </c>
      <c r="F76" t="inlineStr">
        <is>
          <t>Bici plegable</t>
        </is>
      </c>
      <c r="G76" t="inlineStr">
        <is>
          <t>Pedal</t>
        </is>
      </c>
      <c r="H76" s="10" t="inlineStr">
        <is>
          <t>Sí</t>
        </is>
      </c>
      <c r="I76" s="10" t="inlineStr">
        <is>
          <t>Sí</t>
        </is>
      </c>
      <c r="J76" s="10" t="inlineStr">
        <is>
          <t>No</t>
        </is>
      </c>
      <c r="K76" s="10" t="inlineStr">
        <is>
          <t>No</t>
        </is>
      </c>
      <c r="L76" s="10" t="inlineStr">
        <is>
          <t>No</t>
        </is>
      </c>
      <c r="M76" s="10" t="inlineStr">
        <is>
          <t>No</t>
        </is>
      </c>
      <c r="N76" s="10" t="inlineStr">
        <is>
          <t>Revisar</t>
        </is>
      </c>
      <c r="O76" t="inlineStr">
        <is>
          <t>Sí</t>
        </is>
      </c>
      <c r="P76" s="10" t="inlineStr">
        <is>
          <t>Asfalto</t>
        </is>
      </c>
      <c r="S76" t="inlineStr">
        <is>
          <t>No</t>
        </is>
      </c>
      <c r="T76" s="10" t="inlineStr">
        <is>
          <t>Sí</t>
        </is>
      </c>
      <c r="W76" t="inlineStr">
        <is>
          <t>No</t>
        </is>
      </c>
      <c r="Z76" t="n">
        <v>0</v>
      </c>
      <c r="AA76" t="inlineStr">
        <is>
          <t>Sí</t>
        </is>
      </c>
      <c r="AB76" s="7" t="inlineStr"/>
      <c r="AC76" s="7" t="inlineStr"/>
    </row>
    <row r="77">
      <c r="A77" t="n">
        <v>349261834</v>
      </c>
      <c r="B77" t="inlineStr">
        <is>
          <t>Lentus 8</t>
        </is>
      </c>
      <c r="C77" s="8">
        <f>IF(LEN(D77)=0,"SÍ","NO")</f>
        <v/>
      </c>
      <c r="D77" s="7">
        <f>IF(F77="","tipo; ","")&amp;IF(G77="","propulsión; ","")&amp;IF(COUNTIF(H77:M77,"Sí")=0,"uso; ","")&amp;IF(OR(N77="",N77="Revisar"),"silla de niños; ","")&amp;IF(O77="","neumáticos; ","")&amp;IF(P77="","terreno; ","")&amp;IF(AND(G77&lt;&gt;"Pedal",Q77=""),"autonomía; ","")&amp;IF(AND(G77&lt;&gt;"Pedal",R77=""),"velocidad; ","")&amp;IF(OR(S77="",S77="Revisar"),"licencia; ","")&amp;IF(T77="","plegable; ","")&amp;IF(U77="","peso; ","")&amp;IF(AND(G77&lt;&gt;"Pedal",V77=""),"carga máx; ","")&amp;IF(AND(ISNUMBER(SEARCH("Bici",F77)),COUNTIF('Altura por modelo'!$A$2:$A$2000,A77)=0),"altura; ","")&amp;IF(COUNTIFS('Altura por modelo'!$A$2:$A$2000,A77,'Altura por modelo'!$E$2:$E$2000,"")+COUNTIFS('Altura por modelo'!$A$2:$A$2000,A77,'Altura por modelo'!$F$2:$F$2000,"")&gt;0,"altura por talle; ","")&amp;IF(AA77&lt;&gt;"Sí","desactivado; ","")</f>
        <v/>
      </c>
      <c r="E77" t="inlineStr">
        <is>
          <t>Bicicletas &gt; Plegables</t>
        </is>
      </c>
      <c r="F77" t="inlineStr">
        <is>
          <t>Bici plegable</t>
        </is>
      </c>
      <c r="G77" t="inlineStr">
        <is>
          <t>Pedal</t>
        </is>
      </c>
      <c r="H77" s="10" t="inlineStr">
        <is>
          <t>Sí</t>
        </is>
      </c>
      <c r="I77" s="10" t="inlineStr">
        <is>
          <t>Sí</t>
        </is>
      </c>
      <c r="J77" s="10" t="inlineStr">
        <is>
          <t>No</t>
        </is>
      </c>
      <c r="K77" s="10" t="inlineStr">
        <is>
          <t>No</t>
        </is>
      </c>
      <c r="L77" s="10" t="inlineStr">
        <is>
          <t>No</t>
        </is>
      </c>
      <c r="M77" s="10" t="inlineStr">
        <is>
          <t>No</t>
        </is>
      </c>
      <c r="N77" s="10" t="inlineStr">
        <is>
          <t>Revisar</t>
        </is>
      </c>
      <c r="O77" t="inlineStr">
        <is>
          <t>Sí</t>
        </is>
      </c>
      <c r="P77" s="10" t="inlineStr">
        <is>
          <t>Asfalto</t>
        </is>
      </c>
      <c r="S77" t="inlineStr">
        <is>
          <t>No</t>
        </is>
      </c>
      <c r="T77" s="10" t="inlineStr">
        <is>
          <t>Sí</t>
        </is>
      </c>
      <c r="W77" t="inlineStr">
        <is>
          <t>No</t>
        </is>
      </c>
      <c r="Z77" t="n">
        <v>0</v>
      </c>
      <c r="AA77" t="inlineStr">
        <is>
          <t>Sí</t>
        </is>
      </c>
      <c r="AB77" s="7" t="inlineStr"/>
      <c r="AC77" s="7" t="inlineStr"/>
    </row>
    <row r="78">
      <c r="A78" t="n">
        <v>283042882</v>
      </c>
      <c r="B78" t="inlineStr">
        <is>
          <t>Nicasio (2023)</t>
        </is>
      </c>
      <c r="C78" s="8">
        <f>IF(LEN(D78)=0,"SÍ","NO")</f>
        <v/>
      </c>
      <c r="D78" s="7">
        <f>IF(F78="","tipo; ","")&amp;IF(G78="","propulsión; ","")&amp;IF(COUNTIF(H78:M78,"Sí")=0,"uso; ","")&amp;IF(OR(N78="",N78="Revisar"),"silla de niños; ","")&amp;IF(O78="","neumáticos; ","")&amp;IF(P78="","terreno; ","")&amp;IF(AND(G78&lt;&gt;"Pedal",Q78=""),"autonomía; ","")&amp;IF(AND(G78&lt;&gt;"Pedal",R78=""),"velocidad; ","")&amp;IF(OR(S78="",S78="Revisar"),"licencia; ","")&amp;IF(T78="","plegable; ","")&amp;IF(U78="","peso; ","")&amp;IF(AND(G78&lt;&gt;"Pedal",V78=""),"carga máx; ","")&amp;IF(AND(ISNUMBER(SEARCH("Bici",F78)),COUNTIF('Altura por modelo'!$A$2:$A$2000,A78)=0),"altura; ","")&amp;IF(COUNTIFS('Altura por modelo'!$A$2:$A$2000,A78,'Altura por modelo'!$E$2:$E$2000,"")+COUNTIFS('Altura por modelo'!$A$2:$A$2000,A78,'Altura por modelo'!$F$2:$F$2000,"")&gt;0,"altura por talle; ","")&amp;IF(AA78&lt;&gt;"Sí","desactivado; ","")</f>
        <v/>
      </c>
      <c r="E78" t="inlineStr">
        <is>
          <t>Bicicletas &gt; Gravel</t>
        </is>
      </c>
      <c r="F78" t="inlineStr">
        <is>
          <t>Bici gravel</t>
        </is>
      </c>
      <c r="G78" t="inlineStr">
        <is>
          <t>Pedal</t>
        </is>
      </c>
      <c r="H78" s="10" t="inlineStr">
        <is>
          <t>Sí</t>
        </is>
      </c>
      <c r="I78" s="10" t="inlineStr">
        <is>
          <t>Sí</t>
        </is>
      </c>
      <c r="J78" s="10" t="inlineStr">
        <is>
          <t>Sí</t>
        </is>
      </c>
      <c r="K78" s="10" t="inlineStr">
        <is>
          <t>No</t>
        </is>
      </c>
      <c r="L78" s="10" t="inlineStr">
        <is>
          <t>No</t>
        </is>
      </c>
      <c r="M78" s="10" t="inlineStr">
        <is>
          <t>No</t>
        </is>
      </c>
      <c r="N78" s="10" t="inlineStr">
        <is>
          <t>Revisar</t>
        </is>
      </c>
      <c r="O78" t="inlineStr">
        <is>
          <t>Sí</t>
        </is>
      </c>
      <c r="P78" s="10" t="inlineStr">
        <is>
          <t>Asfalto y mixto</t>
        </is>
      </c>
      <c r="S78" t="inlineStr">
        <is>
          <t>No</t>
        </is>
      </c>
      <c r="T78" t="inlineStr">
        <is>
          <t>No</t>
        </is>
      </c>
      <c r="W78" t="inlineStr">
        <is>
          <t>Sí</t>
        </is>
      </c>
      <c r="Z78" t="n">
        <v>0</v>
      </c>
      <c r="AA78" t="inlineStr">
        <is>
          <t>Sí</t>
        </is>
      </c>
      <c r="AB78" s="7" t="inlineStr"/>
      <c r="AC78" s="7" t="inlineStr"/>
    </row>
    <row r="79">
      <c r="A79" t="n">
        <v>283050150</v>
      </c>
      <c r="B79" t="inlineStr">
        <is>
          <t>Nicasio 1 (2025)</t>
        </is>
      </c>
      <c r="C79" s="8">
        <f>IF(LEN(D79)=0,"SÍ","NO")</f>
        <v/>
      </c>
      <c r="D79" s="7">
        <f>IF(F79="","tipo; ","")&amp;IF(G79="","propulsión; ","")&amp;IF(COUNTIF(H79:M79,"Sí")=0,"uso; ","")&amp;IF(OR(N79="",N79="Revisar"),"silla de niños; ","")&amp;IF(O79="","neumáticos; ","")&amp;IF(P79="","terreno; ","")&amp;IF(AND(G79&lt;&gt;"Pedal",Q79=""),"autonomía; ","")&amp;IF(AND(G79&lt;&gt;"Pedal",R79=""),"velocidad; ","")&amp;IF(OR(S79="",S79="Revisar"),"licencia; ","")&amp;IF(T79="","plegable; ","")&amp;IF(U79="","peso; ","")&amp;IF(AND(G79&lt;&gt;"Pedal",V79=""),"carga máx; ","")&amp;IF(AND(ISNUMBER(SEARCH("Bici",F79)),COUNTIF('Altura por modelo'!$A$2:$A$2000,A79)=0),"altura; ","")&amp;IF(COUNTIFS('Altura por modelo'!$A$2:$A$2000,A79,'Altura por modelo'!$E$2:$E$2000,"")+COUNTIFS('Altura por modelo'!$A$2:$A$2000,A79,'Altura por modelo'!$F$2:$F$2000,"")&gt;0,"altura por talle; ","")&amp;IF(AA79&lt;&gt;"Sí","desactivado; ","")</f>
        <v/>
      </c>
      <c r="E79" t="inlineStr">
        <is>
          <t>Bicicletas &gt; Gravel</t>
        </is>
      </c>
      <c r="F79" t="inlineStr">
        <is>
          <t>Bici gravel</t>
        </is>
      </c>
      <c r="G79" t="inlineStr">
        <is>
          <t>Pedal</t>
        </is>
      </c>
      <c r="H79" s="10" t="inlineStr">
        <is>
          <t>Sí</t>
        </is>
      </c>
      <c r="I79" s="10" t="inlineStr">
        <is>
          <t>Sí</t>
        </is>
      </c>
      <c r="J79" s="10" t="inlineStr">
        <is>
          <t>Sí</t>
        </is>
      </c>
      <c r="K79" s="10" t="inlineStr">
        <is>
          <t>No</t>
        </is>
      </c>
      <c r="L79" s="10" t="inlineStr">
        <is>
          <t>No</t>
        </is>
      </c>
      <c r="M79" s="10" t="inlineStr">
        <is>
          <t>No</t>
        </is>
      </c>
      <c r="N79" s="10" t="inlineStr">
        <is>
          <t>Revisar</t>
        </is>
      </c>
      <c r="O79" t="inlineStr">
        <is>
          <t>Sí</t>
        </is>
      </c>
      <c r="P79" s="10" t="inlineStr">
        <is>
          <t>Asfalto y mixto</t>
        </is>
      </c>
      <c r="S79" t="inlineStr">
        <is>
          <t>No</t>
        </is>
      </c>
      <c r="T79" t="inlineStr">
        <is>
          <t>No</t>
        </is>
      </c>
      <c r="W79" t="inlineStr">
        <is>
          <t>Sí</t>
        </is>
      </c>
      <c r="Z79" t="n">
        <v>0</v>
      </c>
      <c r="AA79" t="inlineStr">
        <is>
          <t>Sí</t>
        </is>
      </c>
      <c r="AB79" s="7" t="inlineStr"/>
      <c r="AC79" s="7" t="inlineStr"/>
    </row>
    <row r="80">
      <c r="A80" t="n">
        <v>283064870</v>
      </c>
      <c r="B80" t="inlineStr">
        <is>
          <t>Four Corners 1 Sword (2025)</t>
        </is>
      </c>
      <c r="C80" s="8">
        <f>IF(LEN(D80)=0,"SÍ","NO")</f>
        <v/>
      </c>
      <c r="D80" s="7">
        <f>IF(F80="","tipo; ","")&amp;IF(G80="","propulsión; ","")&amp;IF(COUNTIF(H80:M80,"Sí")=0,"uso; ","")&amp;IF(OR(N80="",N80="Revisar"),"silla de niños; ","")&amp;IF(O80="","neumáticos; ","")&amp;IF(P80="","terreno; ","")&amp;IF(AND(G80&lt;&gt;"Pedal",Q80=""),"autonomía; ","")&amp;IF(AND(G80&lt;&gt;"Pedal",R80=""),"velocidad; ","")&amp;IF(OR(S80="",S80="Revisar"),"licencia; ","")&amp;IF(T80="","plegable; ","")&amp;IF(U80="","peso; ","")&amp;IF(AND(G80&lt;&gt;"Pedal",V80=""),"carga máx; ","")&amp;IF(AND(ISNUMBER(SEARCH("Bici",F80)),COUNTIF('Altura por modelo'!$A$2:$A$2000,A80)=0),"altura; ","")&amp;IF(COUNTIFS('Altura por modelo'!$A$2:$A$2000,A80,'Altura por modelo'!$E$2:$E$2000,"")+COUNTIFS('Altura por modelo'!$A$2:$A$2000,A80,'Altura por modelo'!$F$2:$F$2000,"")&gt;0,"altura por talle; ","")&amp;IF(AA80&lt;&gt;"Sí","desactivado; ","")</f>
        <v/>
      </c>
      <c r="E80" t="inlineStr">
        <is>
          <t>Bicicletas &gt; Gravel</t>
        </is>
      </c>
      <c r="F80" t="inlineStr">
        <is>
          <t>Bici gravel</t>
        </is>
      </c>
      <c r="G80" t="inlineStr">
        <is>
          <t>Pedal</t>
        </is>
      </c>
      <c r="H80" s="10" t="inlineStr">
        <is>
          <t>Sí</t>
        </is>
      </c>
      <c r="I80" s="10" t="inlineStr">
        <is>
          <t>Sí</t>
        </is>
      </c>
      <c r="J80" s="10" t="inlineStr">
        <is>
          <t>Sí</t>
        </is>
      </c>
      <c r="K80" s="10" t="inlineStr">
        <is>
          <t>No</t>
        </is>
      </c>
      <c r="L80" s="10" t="inlineStr">
        <is>
          <t>No</t>
        </is>
      </c>
      <c r="M80" s="10" t="inlineStr">
        <is>
          <t>No</t>
        </is>
      </c>
      <c r="N80" s="10" t="inlineStr">
        <is>
          <t>Revisar</t>
        </is>
      </c>
      <c r="O80" t="inlineStr">
        <is>
          <t>Sí</t>
        </is>
      </c>
      <c r="P80" s="10" t="inlineStr">
        <is>
          <t>Asfalto y mixto</t>
        </is>
      </c>
      <c r="S80" t="inlineStr">
        <is>
          <t>No</t>
        </is>
      </c>
      <c r="T80" t="inlineStr">
        <is>
          <t>No</t>
        </is>
      </c>
      <c r="W80" t="inlineStr">
        <is>
          <t>Sí</t>
        </is>
      </c>
      <c r="Z80" t="n">
        <v>0</v>
      </c>
      <c r="AA80" t="inlineStr">
        <is>
          <t>Sí</t>
        </is>
      </c>
      <c r="AB80" s="7" t="inlineStr"/>
      <c r="AC80" s="7" t="inlineStr"/>
    </row>
    <row r="81">
      <c r="A81" t="n">
        <v>297455735</v>
      </c>
      <c r="B81" t="inlineStr">
        <is>
          <t>DSX 1 (2026)</t>
        </is>
      </c>
      <c r="C81" s="8">
        <f>IF(LEN(D81)=0,"SÍ","NO")</f>
        <v/>
      </c>
      <c r="D81" s="7">
        <f>IF(F81="","tipo; ","")&amp;IF(G81="","propulsión; ","")&amp;IF(COUNTIF(H81:M81,"Sí")=0,"uso; ","")&amp;IF(OR(N81="",N81="Revisar"),"silla de niños; ","")&amp;IF(O81="","neumáticos; ","")&amp;IF(P81="","terreno; ","")&amp;IF(AND(G81&lt;&gt;"Pedal",Q81=""),"autonomía; ","")&amp;IF(AND(G81&lt;&gt;"Pedal",R81=""),"velocidad; ","")&amp;IF(OR(S81="",S81="Revisar"),"licencia; ","")&amp;IF(T81="","plegable; ","")&amp;IF(U81="","peso; ","")&amp;IF(AND(G81&lt;&gt;"Pedal",V81=""),"carga máx; ","")&amp;IF(AND(ISNUMBER(SEARCH("Bici",F81)),COUNTIF('Altura por modelo'!$A$2:$A$2000,A81)=0),"altura; ","")&amp;IF(COUNTIFS('Altura por modelo'!$A$2:$A$2000,A81,'Altura por modelo'!$E$2:$E$2000,"")+COUNTIFS('Altura por modelo'!$A$2:$A$2000,A81,'Altura por modelo'!$F$2:$F$2000,"")&gt;0,"altura por talle; ","")&amp;IF(AA81&lt;&gt;"Sí","desactivado; ","")</f>
        <v/>
      </c>
      <c r="E81" t="inlineStr">
        <is>
          <t>Bicicletas &gt; Gravel</t>
        </is>
      </c>
      <c r="F81" t="inlineStr">
        <is>
          <t>Bici gravel</t>
        </is>
      </c>
      <c r="G81" t="inlineStr">
        <is>
          <t>Pedal</t>
        </is>
      </c>
      <c r="H81" s="10" t="inlineStr">
        <is>
          <t>Sí</t>
        </is>
      </c>
      <c r="I81" s="10" t="inlineStr">
        <is>
          <t>Sí</t>
        </is>
      </c>
      <c r="J81" s="10" t="inlineStr">
        <is>
          <t>Sí</t>
        </is>
      </c>
      <c r="K81" s="10" t="inlineStr">
        <is>
          <t>No</t>
        </is>
      </c>
      <c r="L81" s="10" t="inlineStr">
        <is>
          <t>No</t>
        </is>
      </c>
      <c r="M81" s="10" t="inlineStr">
        <is>
          <t>No</t>
        </is>
      </c>
      <c r="N81" s="10" t="inlineStr">
        <is>
          <t>Revisar</t>
        </is>
      </c>
      <c r="O81" t="inlineStr">
        <is>
          <t>Sí</t>
        </is>
      </c>
      <c r="P81" s="10" t="inlineStr">
        <is>
          <t>Asfalto y mixto</t>
        </is>
      </c>
      <c r="S81" t="inlineStr">
        <is>
          <t>No</t>
        </is>
      </c>
      <c r="T81" t="inlineStr">
        <is>
          <t>No</t>
        </is>
      </c>
      <c r="W81" t="inlineStr">
        <is>
          <t>Sí</t>
        </is>
      </c>
      <c r="Z81" t="n">
        <v>0</v>
      </c>
      <c r="AA81" t="inlineStr">
        <is>
          <t>Sí</t>
        </is>
      </c>
      <c r="AB81" s="7" t="inlineStr"/>
      <c r="AC81" s="7" t="inlineStr"/>
    </row>
    <row r="82">
      <c r="A82" t="n">
        <v>297486793</v>
      </c>
      <c r="B82" t="inlineStr">
        <is>
          <t>DSX 2 (2026)</t>
        </is>
      </c>
      <c r="C82" s="8">
        <f>IF(LEN(D82)=0,"SÍ","NO")</f>
        <v/>
      </c>
      <c r="D82" s="7">
        <f>IF(F82="","tipo; ","")&amp;IF(G82="","propulsión; ","")&amp;IF(COUNTIF(H82:M82,"Sí")=0,"uso; ","")&amp;IF(OR(N82="",N82="Revisar"),"silla de niños; ","")&amp;IF(O82="","neumáticos; ","")&amp;IF(P82="","terreno; ","")&amp;IF(AND(G82&lt;&gt;"Pedal",Q82=""),"autonomía; ","")&amp;IF(AND(G82&lt;&gt;"Pedal",R82=""),"velocidad; ","")&amp;IF(OR(S82="",S82="Revisar"),"licencia; ","")&amp;IF(T82="","plegable; ","")&amp;IF(U82="","peso; ","")&amp;IF(AND(G82&lt;&gt;"Pedal",V82=""),"carga máx; ","")&amp;IF(AND(ISNUMBER(SEARCH("Bici",F82)),COUNTIF('Altura por modelo'!$A$2:$A$2000,A82)=0),"altura; ","")&amp;IF(COUNTIFS('Altura por modelo'!$A$2:$A$2000,A82,'Altura por modelo'!$E$2:$E$2000,"")+COUNTIFS('Altura por modelo'!$A$2:$A$2000,A82,'Altura por modelo'!$F$2:$F$2000,"")&gt;0,"altura por talle; ","")&amp;IF(AA82&lt;&gt;"Sí","desactivado; ","")</f>
        <v/>
      </c>
      <c r="E82" t="inlineStr">
        <is>
          <t>Bicicletas &gt; Gravel</t>
        </is>
      </c>
      <c r="F82" t="inlineStr">
        <is>
          <t>Bici gravel</t>
        </is>
      </c>
      <c r="G82" t="inlineStr">
        <is>
          <t>Pedal</t>
        </is>
      </c>
      <c r="H82" s="10" t="inlineStr">
        <is>
          <t>Sí</t>
        </is>
      </c>
      <c r="I82" s="10" t="inlineStr">
        <is>
          <t>Sí</t>
        </is>
      </c>
      <c r="J82" s="10" t="inlineStr">
        <is>
          <t>Sí</t>
        </is>
      </c>
      <c r="K82" s="10" t="inlineStr">
        <is>
          <t>No</t>
        </is>
      </c>
      <c r="L82" s="10" t="inlineStr">
        <is>
          <t>No</t>
        </is>
      </c>
      <c r="M82" s="10" t="inlineStr">
        <is>
          <t>No</t>
        </is>
      </c>
      <c r="N82" s="10" t="inlineStr">
        <is>
          <t>Revisar</t>
        </is>
      </c>
      <c r="O82" t="inlineStr">
        <is>
          <t>Sí</t>
        </is>
      </c>
      <c r="P82" s="10" t="inlineStr">
        <is>
          <t>Asfalto y mixto</t>
        </is>
      </c>
      <c r="S82" t="inlineStr">
        <is>
          <t>No</t>
        </is>
      </c>
      <c r="T82" t="inlineStr">
        <is>
          <t>No</t>
        </is>
      </c>
      <c r="W82" t="inlineStr">
        <is>
          <t>Sí</t>
        </is>
      </c>
      <c r="Z82" t="n">
        <v>0</v>
      </c>
      <c r="AA82" t="inlineStr">
        <is>
          <t>Sí</t>
        </is>
      </c>
      <c r="AB82" s="7" t="inlineStr"/>
      <c r="AC82" s="7" t="inlineStr"/>
    </row>
    <row r="83">
      <c r="A83" t="n">
        <v>345977305</v>
      </c>
      <c r="B83" t="inlineStr">
        <is>
          <t>Nicasio+ Sword (650B)</t>
        </is>
      </c>
      <c r="C83" s="8">
        <f>IF(LEN(D83)=0,"SÍ","NO")</f>
        <v/>
      </c>
      <c r="D83" s="7">
        <f>IF(F83="","tipo; ","")&amp;IF(G83="","propulsión; ","")&amp;IF(COUNTIF(H83:M83,"Sí")=0,"uso; ","")&amp;IF(OR(N83="",N83="Revisar"),"silla de niños; ","")&amp;IF(O83="","neumáticos; ","")&amp;IF(P83="","terreno; ","")&amp;IF(AND(G83&lt;&gt;"Pedal",Q83=""),"autonomía; ","")&amp;IF(AND(G83&lt;&gt;"Pedal",R83=""),"velocidad; ","")&amp;IF(OR(S83="",S83="Revisar"),"licencia; ","")&amp;IF(T83="","plegable; ","")&amp;IF(U83="","peso; ","")&amp;IF(AND(G83&lt;&gt;"Pedal",V83=""),"carga máx; ","")&amp;IF(AND(ISNUMBER(SEARCH("Bici",F83)),COUNTIF('Altura por modelo'!$A$2:$A$2000,A83)=0),"altura; ","")&amp;IF(COUNTIFS('Altura por modelo'!$A$2:$A$2000,A83,'Altura por modelo'!$E$2:$E$2000,"")+COUNTIFS('Altura por modelo'!$A$2:$A$2000,A83,'Altura por modelo'!$F$2:$F$2000,"")&gt;0,"altura por talle; ","")&amp;IF(AA83&lt;&gt;"Sí","desactivado; ","")</f>
        <v/>
      </c>
      <c r="E83" t="inlineStr">
        <is>
          <t>Bicicletas &gt; Gravel</t>
        </is>
      </c>
      <c r="F83" t="inlineStr">
        <is>
          <t>Bici gravel</t>
        </is>
      </c>
      <c r="G83" t="inlineStr">
        <is>
          <t>Pedal</t>
        </is>
      </c>
      <c r="H83" s="10" t="inlineStr">
        <is>
          <t>Sí</t>
        </is>
      </c>
      <c r="I83" s="10" t="inlineStr">
        <is>
          <t>Sí</t>
        </is>
      </c>
      <c r="J83" s="10" t="inlineStr">
        <is>
          <t>Sí</t>
        </is>
      </c>
      <c r="K83" s="10" t="inlineStr">
        <is>
          <t>No</t>
        </is>
      </c>
      <c r="L83" s="10" t="inlineStr">
        <is>
          <t>No</t>
        </is>
      </c>
      <c r="M83" s="10" t="inlineStr">
        <is>
          <t>No</t>
        </is>
      </c>
      <c r="N83" s="10" t="inlineStr">
        <is>
          <t>Revisar</t>
        </is>
      </c>
      <c r="O83" t="inlineStr">
        <is>
          <t>Sí</t>
        </is>
      </c>
      <c r="P83" s="10" t="inlineStr">
        <is>
          <t>Asfalto y mixto</t>
        </is>
      </c>
      <c r="S83" t="inlineStr">
        <is>
          <t>No</t>
        </is>
      </c>
      <c r="T83" t="inlineStr">
        <is>
          <t>No</t>
        </is>
      </c>
      <c r="W83" t="inlineStr">
        <is>
          <t>Sí</t>
        </is>
      </c>
      <c r="Z83" t="n">
        <v>0</v>
      </c>
      <c r="AA83" t="inlineStr">
        <is>
          <t>Sí</t>
        </is>
      </c>
      <c r="AB83" s="7" t="inlineStr"/>
      <c r="AC83" s="7" t="inlineStr"/>
    </row>
    <row r="84">
      <c r="A84" t="n">
        <v>349261732</v>
      </c>
      <c r="B84" t="inlineStr">
        <is>
          <t>Wanderer</t>
        </is>
      </c>
      <c r="C84" s="8">
        <f>IF(LEN(D84)=0,"SÍ","NO")</f>
        <v/>
      </c>
      <c r="D84" s="7">
        <f>IF(F84="","tipo; ","")&amp;IF(G84="","propulsión; ","")&amp;IF(COUNTIF(H84:M84,"Sí")=0,"uso; ","")&amp;IF(OR(N84="",N84="Revisar"),"silla de niños; ","")&amp;IF(O84="","neumáticos; ","")&amp;IF(P84="","terreno; ","")&amp;IF(AND(G84&lt;&gt;"Pedal",Q84=""),"autonomía; ","")&amp;IF(AND(G84&lt;&gt;"Pedal",R84=""),"velocidad; ","")&amp;IF(OR(S84="",S84="Revisar"),"licencia; ","")&amp;IF(T84="","plegable; ","")&amp;IF(U84="","peso; ","")&amp;IF(AND(G84&lt;&gt;"Pedal",V84=""),"carga máx; ","")&amp;IF(AND(ISNUMBER(SEARCH("Bici",F84)),COUNTIF('Altura por modelo'!$A$2:$A$2000,A84)=0),"altura; ","")&amp;IF(COUNTIFS('Altura por modelo'!$A$2:$A$2000,A84,'Altura por modelo'!$E$2:$E$2000,"")+COUNTIFS('Altura por modelo'!$A$2:$A$2000,A84,'Altura por modelo'!$F$2:$F$2000,"")&gt;0,"altura por talle; ","")&amp;IF(AA84&lt;&gt;"Sí","desactivado; ","")</f>
        <v/>
      </c>
      <c r="E84" t="inlineStr">
        <is>
          <t>Bicicletas &gt; Gravel</t>
        </is>
      </c>
      <c r="F84" t="inlineStr">
        <is>
          <t>Bici gravel</t>
        </is>
      </c>
      <c r="G84" t="inlineStr">
        <is>
          <t>Pedal</t>
        </is>
      </c>
      <c r="H84" s="10" t="inlineStr">
        <is>
          <t>Sí</t>
        </is>
      </c>
      <c r="I84" s="10" t="inlineStr">
        <is>
          <t>Sí</t>
        </is>
      </c>
      <c r="J84" s="10" t="inlineStr">
        <is>
          <t>Sí</t>
        </is>
      </c>
      <c r="K84" s="10" t="inlineStr">
        <is>
          <t>No</t>
        </is>
      </c>
      <c r="L84" s="10" t="inlineStr">
        <is>
          <t>No</t>
        </is>
      </c>
      <c r="M84" s="10" t="inlineStr">
        <is>
          <t>No</t>
        </is>
      </c>
      <c r="N84" s="10" t="inlineStr">
        <is>
          <t>Revisar</t>
        </is>
      </c>
      <c r="O84" t="inlineStr">
        <is>
          <t>Sí</t>
        </is>
      </c>
      <c r="P84" s="10" t="inlineStr">
        <is>
          <t>Asfalto y mixto</t>
        </is>
      </c>
      <c r="S84" t="inlineStr">
        <is>
          <t>No</t>
        </is>
      </c>
      <c r="T84" t="inlineStr">
        <is>
          <t>No</t>
        </is>
      </c>
      <c r="W84" t="inlineStr">
        <is>
          <t>Sí</t>
        </is>
      </c>
      <c r="Z84" t="n">
        <v>0</v>
      </c>
      <c r="AA84" t="inlineStr">
        <is>
          <t>Sí</t>
        </is>
      </c>
      <c r="AB84" s="7" t="inlineStr"/>
      <c r="AC84" s="7" t="inlineStr"/>
    </row>
    <row r="85">
      <c r="A85" t="n">
        <v>349261740</v>
      </c>
      <c r="B85" t="inlineStr">
        <is>
          <t>The Lightning</t>
        </is>
      </c>
      <c r="C85" s="8">
        <f>IF(LEN(D85)=0,"SÍ","NO")</f>
        <v/>
      </c>
      <c r="D85" s="7">
        <f>IF(F85="","tipo; ","")&amp;IF(G85="","propulsión; ","")&amp;IF(COUNTIF(H85:M85,"Sí")=0,"uso; ","")&amp;IF(OR(N85="",N85="Revisar"),"silla de niños; ","")&amp;IF(O85="","neumáticos; ","")&amp;IF(P85="","terreno; ","")&amp;IF(AND(G85&lt;&gt;"Pedal",Q85=""),"autonomía; ","")&amp;IF(AND(G85&lt;&gt;"Pedal",R85=""),"velocidad; ","")&amp;IF(OR(S85="",S85="Revisar"),"licencia; ","")&amp;IF(T85="","plegable; ","")&amp;IF(U85="","peso; ","")&amp;IF(AND(G85&lt;&gt;"Pedal",V85=""),"carga máx; ","")&amp;IF(AND(ISNUMBER(SEARCH("Bici",F85)),COUNTIF('Altura por modelo'!$A$2:$A$2000,A85)=0),"altura; ","")&amp;IF(COUNTIFS('Altura por modelo'!$A$2:$A$2000,A85,'Altura por modelo'!$E$2:$E$2000,"")+COUNTIFS('Altura por modelo'!$A$2:$A$2000,A85,'Altura por modelo'!$F$2:$F$2000,"")&gt;0,"altura por talle; ","")&amp;IF(AA85&lt;&gt;"Sí","desactivado; ","")</f>
        <v/>
      </c>
      <c r="E85" t="inlineStr">
        <is>
          <t>Bicicletas &gt; Gravel</t>
        </is>
      </c>
      <c r="F85" t="inlineStr">
        <is>
          <t>Bici gravel</t>
        </is>
      </c>
      <c r="G85" t="inlineStr">
        <is>
          <t>Pedal</t>
        </is>
      </c>
      <c r="H85" s="10" t="inlineStr">
        <is>
          <t>Sí</t>
        </is>
      </c>
      <c r="I85" s="10" t="inlineStr">
        <is>
          <t>Sí</t>
        </is>
      </c>
      <c r="J85" s="10" t="inlineStr">
        <is>
          <t>Sí</t>
        </is>
      </c>
      <c r="K85" s="10" t="inlineStr">
        <is>
          <t>No</t>
        </is>
      </c>
      <c r="L85" s="10" t="inlineStr">
        <is>
          <t>No</t>
        </is>
      </c>
      <c r="M85" s="10" t="inlineStr">
        <is>
          <t>No</t>
        </is>
      </c>
      <c r="N85" s="10" t="inlineStr">
        <is>
          <t>Revisar</t>
        </is>
      </c>
      <c r="O85" t="inlineStr">
        <is>
          <t>Sí</t>
        </is>
      </c>
      <c r="P85" s="10" t="inlineStr">
        <is>
          <t>Asfalto y mixto</t>
        </is>
      </c>
      <c r="S85" t="inlineStr">
        <is>
          <t>No</t>
        </is>
      </c>
      <c r="T85" t="inlineStr">
        <is>
          <t>No</t>
        </is>
      </c>
      <c r="W85" t="inlineStr">
        <is>
          <t>Sí</t>
        </is>
      </c>
      <c r="Z85" t="n">
        <v>0</v>
      </c>
      <c r="AA85" t="inlineStr">
        <is>
          <t>Sí</t>
        </is>
      </c>
      <c r="AB85" s="7" t="inlineStr"/>
      <c r="AC85" s="7" t="inlineStr"/>
    </row>
    <row r="86">
      <c r="A86" t="n">
        <v>350939845</v>
      </c>
      <c r="B86" t="inlineStr">
        <is>
          <t>Nicasio 1 ST (caño bajo)</t>
        </is>
      </c>
      <c r="C86" s="8">
        <f>IF(LEN(D86)=0,"SÍ","NO")</f>
        <v/>
      </c>
      <c r="D86" s="7">
        <f>IF(F86="","tipo; ","")&amp;IF(G86="","propulsión; ","")&amp;IF(COUNTIF(H86:M86,"Sí")=0,"uso; ","")&amp;IF(OR(N86="",N86="Revisar"),"silla de niños; ","")&amp;IF(O86="","neumáticos; ","")&amp;IF(P86="","terreno; ","")&amp;IF(AND(G86&lt;&gt;"Pedal",Q86=""),"autonomía; ","")&amp;IF(AND(G86&lt;&gt;"Pedal",R86=""),"velocidad; ","")&amp;IF(OR(S86="",S86="Revisar"),"licencia; ","")&amp;IF(T86="","plegable; ","")&amp;IF(U86="","peso; ","")&amp;IF(AND(G86&lt;&gt;"Pedal",V86=""),"carga máx; ","")&amp;IF(AND(ISNUMBER(SEARCH("Bici",F86)),COUNTIF('Altura por modelo'!$A$2:$A$2000,A86)=0),"altura; ","")&amp;IF(COUNTIFS('Altura por modelo'!$A$2:$A$2000,A86,'Altura por modelo'!$E$2:$E$2000,"")+COUNTIFS('Altura por modelo'!$A$2:$A$2000,A86,'Altura por modelo'!$F$2:$F$2000,"")&gt;0,"altura por talle; ","")&amp;IF(AA86&lt;&gt;"Sí","desactivado; ","")</f>
        <v/>
      </c>
      <c r="E86" t="inlineStr">
        <is>
          <t>Bicicletas &gt; Gravel</t>
        </is>
      </c>
      <c r="F86" t="inlineStr">
        <is>
          <t>Bici gravel</t>
        </is>
      </c>
      <c r="G86" t="inlineStr">
        <is>
          <t>Pedal</t>
        </is>
      </c>
      <c r="H86" s="10" t="inlineStr">
        <is>
          <t>Sí</t>
        </is>
      </c>
      <c r="I86" s="10" t="inlineStr">
        <is>
          <t>Sí</t>
        </is>
      </c>
      <c r="J86" s="10" t="inlineStr">
        <is>
          <t>Sí</t>
        </is>
      </c>
      <c r="K86" s="10" t="inlineStr">
        <is>
          <t>No</t>
        </is>
      </c>
      <c r="L86" s="10" t="inlineStr">
        <is>
          <t>No</t>
        </is>
      </c>
      <c r="M86" s="10" t="inlineStr">
        <is>
          <t>No</t>
        </is>
      </c>
      <c r="N86" s="10" t="inlineStr">
        <is>
          <t>Revisar</t>
        </is>
      </c>
      <c r="O86" t="inlineStr">
        <is>
          <t>Sí</t>
        </is>
      </c>
      <c r="P86" s="10" t="inlineStr">
        <is>
          <t>Asfalto y mixto</t>
        </is>
      </c>
      <c r="S86" t="inlineStr">
        <is>
          <t>No</t>
        </is>
      </c>
      <c r="T86" t="inlineStr">
        <is>
          <t>No</t>
        </is>
      </c>
      <c r="W86" t="inlineStr">
        <is>
          <t>Sí</t>
        </is>
      </c>
      <c r="Z86" t="n">
        <v>0</v>
      </c>
      <c r="AA86" t="inlineStr">
        <is>
          <t>Sí</t>
        </is>
      </c>
      <c r="AB86" s="7" t="inlineStr"/>
      <c r="AC86" s="7" t="inlineStr"/>
    </row>
    <row r="87">
      <c r="A87" t="n">
        <v>350940160</v>
      </c>
      <c r="B87" t="inlineStr">
        <is>
          <t>Four Corners 1 Cues (2026)</t>
        </is>
      </c>
      <c r="C87" s="8">
        <f>IF(LEN(D87)=0,"SÍ","NO")</f>
        <v/>
      </c>
      <c r="D87" s="7">
        <f>IF(F87="","tipo; ","")&amp;IF(G87="","propulsión; ","")&amp;IF(COUNTIF(H87:M87,"Sí")=0,"uso; ","")&amp;IF(OR(N87="",N87="Revisar"),"silla de niños; ","")&amp;IF(O87="","neumáticos; ","")&amp;IF(P87="","terreno; ","")&amp;IF(AND(G87&lt;&gt;"Pedal",Q87=""),"autonomía; ","")&amp;IF(AND(G87&lt;&gt;"Pedal",R87=""),"velocidad; ","")&amp;IF(OR(S87="",S87="Revisar"),"licencia; ","")&amp;IF(T87="","plegable; ","")&amp;IF(U87="","peso; ","")&amp;IF(AND(G87&lt;&gt;"Pedal",V87=""),"carga máx; ","")&amp;IF(AND(ISNUMBER(SEARCH("Bici",F87)),COUNTIF('Altura por modelo'!$A$2:$A$2000,A87)=0),"altura; ","")&amp;IF(COUNTIFS('Altura por modelo'!$A$2:$A$2000,A87,'Altura por modelo'!$E$2:$E$2000,"")+COUNTIFS('Altura por modelo'!$A$2:$A$2000,A87,'Altura por modelo'!$F$2:$F$2000,"")&gt;0,"altura por talle; ","")&amp;IF(AA87&lt;&gt;"Sí","desactivado; ","")</f>
        <v/>
      </c>
      <c r="E87" t="inlineStr">
        <is>
          <t>Bicicletas &gt; Gravel</t>
        </is>
      </c>
      <c r="F87" t="inlineStr">
        <is>
          <t>Bici gravel</t>
        </is>
      </c>
      <c r="G87" t="inlineStr">
        <is>
          <t>Pedal</t>
        </is>
      </c>
      <c r="H87" s="10" t="inlineStr">
        <is>
          <t>Sí</t>
        </is>
      </c>
      <c r="I87" s="10" t="inlineStr">
        <is>
          <t>Sí</t>
        </is>
      </c>
      <c r="J87" s="10" t="inlineStr">
        <is>
          <t>Sí</t>
        </is>
      </c>
      <c r="K87" s="10" t="inlineStr">
        <is>
          <t>No</t>
        </is>
      </c>
      <c r="L87" s="10" t="inlineStr">
        <is>
          <t>No</t>
        </is>
      </c>
      <c r="M87" s="10" t="inlineStr">
        <is>
          <t>No</t>
        </is>
      </c>
      <c r="N87" s="10" t="inlineStr">
        <is>
          <t>Revisar</t>
        </is>
      </c>
      <c r="O87" t="inlineStr">
        <is>
          <t>Sí</t>
        </is>
      </c>
      <c r="P87" s="10" t="inlineStr">
        <is>
          <t>Asfalto y mixto</t>
        </is>
      </c>
      <c r="S87" t="inlineStr">
        <is>
          <t>No</t>
        </is>
      </c>
      <c r="T87" t="inlineStr">
        <is>
          <t>No</t>
        </is>
      </c>
      <c r="W87" t="inlineStr">
        <is>
          <t>Sí</t>
        </is>
      </c>
      <c r="Z87" t="n">
        <v>0</v>
      </c>
      <c r="AA87" t="inlineStr">
        <is>
          <t>Sí</t>
        </is>
      </c>
      <c r="AB87" s="7" t="inlineStr"/>
      <c r="AC87" s="7" t="inlineStr"/>
    </row>
    <row r="88">
      <c r="A88" t="n">
        <v>359825099</v>
      </c>
      <c r="B88" t="inlineStr">
        <is>
          <t>Esker 5.0</t>
        </is>
      </c>
      <c r="C88" s="8">
        <f>IF(LEN(D88)=0,"SÍ","NO")</f>
        <v/>
      </c>
      <c r="D88" s="7">
        <f>IF(F88="","tipo; ","")&amp;IF(G88="","propulsión; ","")&amp;IF(COUNTIF(H88:M88,"Sí")=0,"uso; ","")&amp;IF(OR(N88="",N88="Revisar"),"silla de niños; ","")&amp;IF(O88="","neumáticos; ","")&amp;IF(P88="","terreno; ","")&amp;IF(AND(G88&lt;&gt;"Pedal",Q88=""),"autonomía; ","")&amp;IF(AND(G88&lt;&gt;"Pedal",R88=""),"velocidad; ","")&amp;IF(OR(S88="",S88="Revisar"),"licencia; ","")&amp;IF(T88="","plegable; ","")&amp;IF(U88="","peso; ","")&amp;IF(AND(G88&lt;&gt;"Pedal",V88=""),"carga máx; ","")&amp;IF(AND(ISNUMBER(SEARCH("Bici",F88)),COUNTIF('Altura por modelo'!$A$2:$A$2000,A88)=0),"altura; ","")&amp;IF(COUNTIFS('Altura por modelo'!$A$2:$A$2000,A88,'Altura por modelo'!$E$2:$E$2000,"")+COUNTIFS('Altura por modelo'!$A$2:$A$2000,A88,'Altura por modelo'!$F$2:$F$2000,"")&gt;0,"altura por talle; ","")&amp;IF(AA88&lt;&gt;"Sí","desactivado; ","")</f>
        <v/>
      </c>
      <c r="E88" t="inlineStr">
        <is>
          <t>Bicicletas &gt; Gravel</t>
        </is>
      </c>
      <c r="F88" t="inlineStr">
        <is>
          <t>Bici gravel</t>
        </is>
      </c>
      <c r="G88" t="inlineStr">
        <is>
          <t>Pedal</t>
        </is>
      </c>
      <c r="H88" s="10" t="inlineStr">
        <is>
          <t>Sí</t>
        </is>
      </c>
      <c r="I88" s="10" t="inlineStr">
        <is>
          <t>Sí</t>
        </is>
      </c>
      <c r="J88" s="10" t="inlineStr">
        <is>
          <t>Sí</t>
        </is>
      </c>
      <c r="K88" s="10" t="inlineStr">
        <is>
          <t>No</t>
        </is>
      </c>
      <c r="L88" s="10" t="inlineStr">
        <is>
          <t>No</t>
        </is>
      </c>
      <c r="M88" s="10" t="inlineStr">
        <is>
          <t>No</t>
        </is>
      </c>
      <c r="N88" s="10" t="inlineStr">
        <is>
          <t>Revisar</t>
        </is>
      </c>
      <c r="O88" t="inlineStr">
        <is>
          <t>Sí</t>
        </is>
      </c>
      <c r="P88" s="10" t="inlineStr">
        <is>
          <t>Asfalto y mixto</t>
        </is>
      </c>
      <c r="S88" t="inlineStr">
        <is>
          <t>No</t>
        </is>
      </c>
      <c r="T88" t="inlineStr">
        <is>
          <t>No</t>
        </is>
      </c>
      <c r="W88" t="inlineStr">
        <is>
          <t>Sí</t>
        </is>
      </c>
      <c r="Z88" t="n">
        <v>0</v>
      </c>
      <c r="AA88" t="inlineStr">
        <is>
          <t>Sí</t>
        </is>
      </c>
      <c r="AB88" s="7" t="inlineStr"/>
      <c r="AC88" s="7" t="inlineStr"/>
    </row>
    <row r="89">
      <c r="A89" t="n">
        <v>351124297</v>
      </c>
      <c r="B89" t="inlineStr">
        <is>
          <t>Gestalt (2026)</t>
        </is>
      </c>
      <c r="C89" s="8">
        <f>IF(LEN(D89)=0,"SÍ","NO")</f>
        <v/>
      </c>
      <c r="D89" s="7">
        <f>IF(F89="","tipo; ","")&amp;IF(G89="","propulsión; ","")&amp;IF(COUNTIF(H89:M89,"Sí")=0,"uso; ","")&amp;IF(OR(N89="",N89="Revisar"),"silla de niños; ","")&amp;IF(O89="","neumáticos; ","")&amp;IF(P89="","terreno; ","")&amp;IF(AND(G89&lt;&gt;"Pedal",Q89=""),"autonomía; ","")&amp;IF(AND(G89&lt;&gt;"Pedal",R89=""),"velocidad; ","")&amp;IF(OR(S89="",S89="Revisar"),"licencia; ","")&amp;IF(T89="","plegable; ","")&amp;IF(U89="","peso; ","")&amp;IF(AND(G89&lt;&gt;"Pedal",V89=""),"carga máx; ","")&amp;IF(AND(ISNUMBER(SEARCH("Bici",F89)),COUNTIF('Altura por modelo'!$A$2:$A$2000,A89)=0),"altura; ","")&amp;IF(COUNTIFS('Altura por modelo'!$A$2:$A$2000,A89,'Altura por modelo'!$E$2:$E$2000,"")+COUNTIFS('Altura por modelo'!$A$2:$A$2000,A89,'Altura por modelo'!$F$2:$F$2000,"")&gt;0,"altura por talle; ","")&amp;IF(AA89&lt;&gt;"Sí","desactivado; ","")</f>
        <v/>
      </c>
      <c r="E89" t="inlineStr">
        <is>
          <t>Bicicletas &gt; Gravel + Ruta</t>
        </is>
      </c>
      <c r="F89" t="inlineStr">
        <is>
          <t>Bici gravel/ruta</t>
        </is>
      </c>
      <c r="G89" t="inlineStr">
        <is>
          <t>Pedal</t>
        </is>
      </c>
      <c r="H89" s="10" t="inlineStr">
        <is>
          <t>Sí</t>
        </is>
      </c>
      <c r="I89" s="10" t="inlineStr">
        <is>
          <t>No</t>
        </is>
      </c>
      <c r="J89" s="10" t="inlineStr">
        <is>
          <t>Sí</t>
        </is>
      </c>
      <c r="K89" s="10" t="inlineStr">
        <is>
          <t>No</t>
        </is>
      </c>
      <c r="L89" s="10" t="inlineStr">
        <is>
          <t>No</t>
        </is>
      </c>
      <c r="M89" s="10" t="inlineStr">
        <is>
          <t>No</t>
        </is>
      </c>
      <c r="N89" s="10" t="inlineStr">
        <is>
          <t>Revisar</t>
        </is>
      </c>
      <c r="O89" t="inlineStr">
        <is>
          <t>Sí</t>
        </is>
      </c>
      <c r="P89" s="10" t="inlineStr">
        <is>
          <t>Asfalto y mixto</t>
        </is>
      </c>
      <c r="S89" t="inlineStr">
        <is>
          <t>No</t>
        </is>
      </c>
      <c r="T89" t="inlineStr">
        <is>
          <t>No</t>
        </is>
      </c>
      <c r="W89" t="inlineStr">
        <is>
          <t>Sí</t>
        </is>
      </c>
      <c r="Z89" t="n">
        <v>0</v>
      </c>
      <c r="AA89" t="inlineStr">
        <is>
          <t>Sí</t>
        </is>
      </c>
      <c r="AB89" s="7" t="inlineStr"/>
      <c r="AC89" s="7" t="inlineStr"/>
    </row>
    <row r="90">
      <c r="A90" t="n">
        <v>349261840</v>
      </c>
      <c r="B90" t="inlineStr">
        <is>
          <t>Mom's Favorite</t>
        </is>
      </c>
      <c r="C90" s="8">
        <f>IF(LEN(D90)=0,"SÍ","NO")</f>
        <v/>
      </c>
      <c r="D90" s="7">
        <f>IF(F90="","tipo; ","")&amp;IF(G90="","propulsión; ","")&amp;IF(COUNTIF(H90:M90,"Sí")=0,"uso; ","")&amp;IF(OR(N90="",N90="Revisar"),"silla de niños; ","")&amp;IF(O90="","neumáticos; ","")&amp;IF(P90="","terreno; ","")&amp;IF(AND(G90&lt;&gt;"Pedal",Q90=""),"autonomía; ","")&amp;IF(AND(G90&lt;&gt;"Pedal",R90=""),"velocidad; ","")&amp;IF(OR(S90="",S90="Revisar"),"licencia; ","")&amp;IF(T90="","plegable; ","")&amp;IF(U90="","peso; ","")&amp;IF(AND(G90&lt;&gt;"Pedal",V90=""),"carga máx; ","")&amp;IF(AND(ISNUMBER(SEARCH("Bici",F90)),COUNTIF('Altura por modelo'!$A$2:$A$2000,A90)=0),"altura; ","")&amp;IF(COUNTIFS('Altura por modelo'!$A$2:$A$2000,A90,'Altura por modelo'!$E$2:$E$2000,"")+COUNTIFS('Altura por modelo'!$A$2:$A$2000,A90,'Altura por modelo'!$F$2:$F$2000,"")&gt;0,"altura por talle; ","")&amp;IF(AA90&lt;&gt;"Sí","desactivado; ","")</f>
        <v/>
      </c>
      <c r="E90" t="inlineStr">
        <is>
          <t>Bicicletas &gt; Gravel + MTB</t>
        </is>
      </c>
      <c r="F90" t="inlineStr">
        <is>
          <t>Bici gravel/MTB</t>
        </is>
      </c>
      <c r="G90" t="inlineStr">
        <is>
          <t>Pedal</t>
        </is>
      </c>
      <c r="H90" s="10" t="inlineStr">
        <is>
          <t>No</t>
        </is>
      </c>
      <c r="I90" s="10" t="inlineStr">
        <is>
          <t>Sí</t>
        </is>
      </c>
      <c r="J90" s="10" t="inlineStr">
        <is>
          <t>Sí</t>
        </is>
      </c>
      <c r="K90" s="10" t="inlineStr">
        <is>
          <t>No</t>
        </is>
      </c>
      <c r="L90" s="10" t="inlineStr">
        <is>
          <t>No</t>
        </is>
      </c>
      <c r="M90" s="10" t="inlineStr">
        <is>
          <t>No</t>
        </is>
      </c>
      <c r="N90" s="10" t="inlineStr">
        <is>
          <t>Revisar</t>
        </is>
      </c>
      <c r="O90" t="inlineStr">
        <is>
          <t>Sí</t>
        </is>
      </c>
      <c r="P90" s="10" t="inlineStr">
        <is>
          <t>Mixto y tierra</t>
        </is>
      </c>
      <c r="S90" t="inlineStr">
        <is>
          <t>No</t>
        </is>
      </c>
      <c r="T90" t="inlineStr">
        <is>
          <t>No</t>
        </is>
      </c>
      <c r="W90" t="inlineStr">
        <is>
          <t>Sí</t>
        </is>
      </c>
      <c r="Z90" t="n">
        <v>0</v>
      </c>
      <c r="AA90" t="inlineStr">
        <is>
          <t>Sí</t>
        </is>
      </c>
      <c r="AB90" s="7" t="inlineStr"/>
      <c r="AC90" s="7" t="inlineStr">
        <is>
          <t>Está en Gravel y MTB: revisar.</t>
        </is>
      </c>
    </row>
    <row r="91">
      <c r="A91" t="n">
        <v>260343873</v>
      </c>
      <c r="B91" t="inlineStr">
        <is>
          <t>Trail 6 MTB 2021</t>
        </is>
      </c>
      <c r="C91" s="8">
        <f>IF(LEN(D91)=0,"SÍ","NO")</f>
        <v/>
      </c>
      <c r="D91" s="7">
        <f>IF(F91="","tipo; ","")&amp;IF(G91="","propulsión; ","")&amp;IF(COUNTIF(H91:M91,"Sí")=0,"uso; ","")&amp;IF(OR(N91="",N91="Revisar"),"silla de niños; ","")&amp;IF(O91="","neumáticos; ","")&amp;IF(P91="","terreno; ","")&amp;IF(AND(G91&lt;&gt;"Pedal",Q91=""),"autonomía; ","")&amp;IF(AND(G91&lt;&gt;"Pedal",R91=""),"velocidad; ","")&amp;IF(OR(S91="",S91="Revisar"),"licencia; ","")&amp;IF(T91="","plegable; ","")&amp;IF(U91="","peso; ","")&amp;IF(AND(G91&lt;&gt;"Pedal",V91=""),"carga máx; ","")&amp;IF(AND(ISNUMBER(SEARCH("Bici",F91)),COUNTIF('Altura por modelo'!$A$2:$A$2000,A91)=0),"altura; ","")&amp;IF(COUNTIFS('Altura por modelo'!$A$2:$A$2000,A91,'Altura por modelo'!$E$2:$E$2000,"")+COUNTIFS('Altura por modelo'!$A$2:$A$2000,A91,'Altura por modelo'!$F$2:$F$2000,"")&gt;0,"altura por talle; ","")&amp;IF(AA91&lt;&gt;"Sí","desactivado; ","")</f>
        <v/>
      </c>
      <c r="E91" t="inlineStr">
        <is>
          <t>Bicicletas &gt; MTB</t>
        </is>
      </c>
      <c r="F91" t="inlineStr">
        <is>
          <t>Bici de montaña (MTB)</t>
        </is>
      </c>
      <c r="G91" t="inlineStr">
        <is>
          <t>Pedal</t>
        </is>
      </c>
      <c r="H91" s="10" t="inlineStr">
        <is>
          <t>No</t>
        </is>
      </c>
      <c r="I91" s="10" t="inlineStr">
        <is>
          <t>No</t>
        </is>
      </c>
      <c r="J91" s="10" t="inlineStr">
        <is>
          <t>Sí</t>
        </is>
      </c>
      <c r="K91" s="10" t="inlineStr">
        <is>
          <t>No</t>
        </is>
      </c>
      <c r="L91" s="10" t="inlineStr">
        <is>
          <t>No</t>
        </is>
      </c>
      <c r="M91" s="10" t="inlineStr">
        <is>
          <t>No</t>
        </is>
      </c>
      <c r="N91" t="inlineStr">
        <is>
          <t>No</t>
        </is>
      </c>
      <c r="O91" t="inlineStr">
        <is>
          <t>Sí</t>
        </is>
      </c>
      <c r="P91" s="10" t="inlineStr">
        <is>
          <t>Mixto y tierra</t>
        </is>
      </c>
      <c r="S91" t="inlineStr">
        <is>
          <t>No</t>
        </is>
      </c>
      <c r="T91" t="inlineStr">
        <is>
          <t>No</t>
        </is>
      </c>
      <c r="W91" t="inlineStr">
        <is>
          <t>Sí</t>
        </is>
      </c>
      <c r="Z91" t="n">
        <v>0</v>
      </c>
      <c r="AA91" t="inlineStr">
        <is>
          <t>Sí</t>
        </is>
      </c>
      <c r="AB91" s="7" t="inlineStr"/>
      <c r="AC91" s="7" t="inlineStr"/>
    </row>
    <row r="92">
      <c r="A92" t="n">
        <v>260346819</v>
      </c>
      <c r="B92" t="inlineStr">
        <is>
          <t>Cheetah</t>
        </is>
      </c>
      <c r="C92" s="8">
        <f>IF(LEN(D92)=0,"SÍ","NO")</f>
        <v/>
      </c>
      <c r="D92" s="7">
        <f>IF(F92="","tipo; ","")&amp;IF(G92="","propulsión; ","")&amp;IF(COUNTIF(H92:M92,"Sí")=0,"uso; ","")&amp;IF(OR(N92="",N92="Revisar"),"silla de niños; ","")&amp;IF(O92="","neumáticos; ","")&amp;IF(P92="","terreno; ","")&amp;IF(AND(G92&lt;&gt;"Pedal",Q92=""),"autonomía; ","")&amp;IF(AND(G92&lt;&gt;"Pedal",R92=""),"velocidad; ","")&amp;IF(OR(S92="",S92="Revisar"),"licencia; ","")&amp;IF(T92="","plegable; ","")&amp;IF(U92="","peso; ","")&amp;IF(AND(G92&lt;&gt;"Pedal",V92=""),"carga máx; ","")&amp;IF(AND(ISNUMBER(SEARCH("Bici",F92)),COUNTIF('Altura por modelo'!$A$2:$A$2000,A92)=0),"altura; ","")&amp;IF(COUNTIFS('Altura por modelo'!$A$2:$A$2000,A92,'Altura por modelo'!$E$2:$E$2000,"")+COUNTIFS('Altura por modelo'!$A$2:$A$2000,A92,'Altura por modelo'!$F$2:$F$2000,"")&gt;0,"altura por talle; ","")&amp;IF(AA92&lt;&gt;"Sí","desactivado; ","")</f>
        <v/>
      </c>
      <c r="E92" t="inlineStr">
        <is>
          <t>Bicicletas &gt; MTB</t>
        </is>
      </c>
      <c r="F92" t="inlineStr">
        <is>
          <t>Bici de montaña (MTB)</t>
        </is>
      </c>
      <c r="G92" t="inlineStr">
        <is>
          <t>Pedal</t>
        </is>
      </c>
      <c r="H92" s="10" t="inlineStr">
        <is>
          <t>No</t>
        </is>
      </c>
      <c r="I92" s="10" t="inlineStr">
        <is>
          <t>No</t>
        </is>
      </c>
      <c r="J92" s="10" t="inlineStr">
        <is>
          <t>Sí</t>
        </is>
      </c>
      <c r="K92" s="10" t="inlineStr">
        <is>
          <t>No</t>
        </is>
      </c>
      <c r="L92" s="10" t="inlineStr">
        <is>
          <t>No</t>
        </is>
      </c>
      <c r="M92" s="10" t="inlineStr">
        <is>
          <t>No</t>
        </is>
      </c>
      <c r="N92" t="inlineStr">
        <is>
          <t>No</t>
        </is>
      </c>
      <c r="O92" t="inlineStr">
        <is>
          <t>Sí</t>
        </is>
      </c>
      <c r="P92" s="10" t="inlineStr">
        <is>
          <t>Mixto y tierra</t>
        </is>
      </c>
      <c r="S92" t="inlineStr">
        <is>
          <t>No</t>
        </is>
      </c>
      <c r="T92" t="inlineStr">
        <is>
          <t>No</t>
        </is>
      </c>
      <c r="W92" t="inlineStr">
        <is>
          <t>Sí</t>
        </is>
      </c>
      <c r="Z92" t="n">
        <v>0</v>
      </c>
      <c r="AA92" t="inlineStr">
        <is>
          <t>Sí</t>
        </is>
      </c>
      <c r="AB92" s="7" t="inlineStr"/>
      <c r="AC92" s="7" t="inlineStr"/>
    </row>
    <row r="93">
      <c r="A93" t="n">
        <v>284282046</v>
      </c>
      <c r="B93" t="inlineStr">
        <is>
          <t>Alpine Trail Carbon 1 (2024)</t>
        </is>
      </c>
      <c r="C93" s="8">
        <f>IF(LEN(D93)=0,"SÍ","NO")</f>
        <v/>
      </c>
      <c r="D93" s="7">
        <f>IF(F93="","tipo; ","")&amp;IF(G93="","propulsión; ","")&amp;IF(COUNTIF(H93:M93,"Sí")=0,"uso; ","")&amp;IF(OR(N93="",N93="Revisar"),"silla de niños; ","")&amp;IF(O93="","neumáticos; ","")&amp;IF(P93="","terreno; ","")&amp;IF(AND(G93&lt;&gt;"Pedal",Q93=""),"autonomía; ","")&amp;IF(AND(G93&lt;&gt;"Pedal",R93=""),"velocidad; ","")&amp;IF(OR(S93="",S93="Revisar"),"licencia; ","")&amp;IF(T93="","plegable; ","")&amp;IF(U93="","peso; ","")&amp;IF(AND(G93&lt;&gt;"Pedal",V93=""),"carga máx; ","")&amp;IF(AND(ISNUMBER(SEARCH("Bici",F93)),COUNTIF('Altura por modelo'!$A$2:$A$2000,A93)=0),"altura; ","")&amp;IF(COUNTIFS('Altura por modelo'!$A$2:$A$2000,A93,'Altura por modelo'!$E$2:$E$2000,"")+COUNTIFS('Altura por modelo'!$A$2:$A$2000,A93,'Altura por modelo'!$F$2:$F$2000,"")&gt;0,"altura por talle; ","")&amp;IF(AA93&lt;&gt;"Sí","desactivado; ","")</f>
        <v/>
      </c>
      <c r="E93" t="inlineStr">
        <is>
          <t>Bicicletas &gt; MTB</t>
        </is>
      </c>
      <c r="F93" t="inlineStr">
        <is>
          <t>Bici de montaña (MTB)</t>
        </is>
      </c>
      <c r="G93" t="inlineStr">
        <is>
          <t>Pedal</t>
        </is>
      </c>
      <c r="H93" s="10" t="inlineStr">
        <is>
          <t>No</t>
        </is>
      </c>
      <c r="I93" s="10" t="inlineStr">
        <is>
          <t>No</t>
        </is>
      </c>
      <c r="J93" s="10" t="inlineStr">
        <is>
          <t>Sí</t>
        </is>
      </c>
      <c r="K93" s="10" t="inlineStr">
        <is>
          <t>No</t>
        </is>
      </c>
      <c r="L93" s="10" t="inlineStr">
        <is>
          <t>No</t>
        </is>
      </c>
      <c r="M93" s="10" t="inlineStr">
        <is>
          <t>No</t>
        </is>
      </c>
      <c r="N93" t="inlineStr">
        <is>
          <t>No</t>
        </is>
      </c>
      <c r="O93" t="inlineStr">
        <is>
          <t>Sí</t>
        </is>
      </c>
      <c r="P93" s="10" t="inlineStr">
        <is>
          <t>Mixto y tierra</t>
        </is>
      </c>
      <c r="S93" t="inlineStr">
        <is>
          <t>No</t>
        </is>
      </c>
      <c r="T93" t="inlineStr">
        <is>
          <t>No</t>
        </is>
      </c>
      <c r="W93" t="inlineStr">
        <is>
          <t>Sí</t>
        </is>
      </c>
      <c r="Z93" t="n">
        <v>0</v>
      </c>
      <c r="AA93" t="inlineStr">
        <is>
          <t>Sí</t>
        </is>
      </c>
      <c r="AB93" s="7" t="inlineStr"/>
      <c r="AC93" s="7" t="inlineStr"/>
    </row>
    <row r="94">
      <c r="A94" t="n">
        <v>284296407</v>
      </c>
      <c r="B94" t="inlineStr">
        <is>
          <t>El Roy (2023)</t>
        </is>
      </c>
      <c r="C94" s="8">
        <f>IF(LEN(D94)=0,"SÍ","NO")</f>
        <v/>
      </c>
      <c r="D94" s="7">
        <f>IF(F94="","tipo; ","")&amp;IF(G94="","propulsión; ","")&amp;IF(COUNTIF(H94:M94,"Sí")=0,"uso; ","")&amp;IF(OR(N94="",N94="Revisar"),"silla de niños; ","")&amp;IF(O94="","neumáticos; ","")&amp;IF(P94="","terreno; ","")&amp;IF(AND(G94&lt;&gt;"Pedal",Q94=""),"autonomía; ","")&amp;IF(AND(G94&lt;&gt;"Pedal",R94=""),"velocidad; ","")&amp;IF(OR(S94="",S94="Revisar"),"licencia; ","")&amp;IF(T94="","plegable; ","")&amp;IF(U94="","peso; ","")&amp;IF(AND(G94&lt;&gt;"Pedal",V94=""),"carga máx; ","")&amp;IF(AND(ISNUMBER(SEARCH("Bici",F94)),COUNTIF('Altura por modelo'!$A$2:$A$2000,A94)=0),"altura; ","")&amp;IF(COUNTIFS('Altura por modelo'!$A$2:$A$2000,A94,'Altura por modelo'!$E$2:$E$2000,"")+COUNTIFS('Altura por modelo'!$A$2:$A$2000,A94,'Altura por modelo'!$F$2:$F$2000,"")&gt;0,"altura por talle; ","")&amp;IF(AA94&lt;&gt;"Sí","desactivado; ","")</f>
        <v/>
      </c>
      <c r="E94" t="inlineStr">
        <is>
          <t>Bicicletas &gt; MTB</t>
        </is>
      </c>
      <c r="F94" t="inlineStr">
        <is>
          <t>Bici de montaña (MTB)</t>
        </is>
      </c>
      <c r="G94" t="inlineStr">
        <is>
          <t>Pedal</t>
        </is>
      </c>
      <c r="H94" s="10" t="inlineStr">
        <is>
          <t>No</t>
        </is>
      </c>
      <c r="I94" s="10" t="inlineStr">
        <is>
          <t>No</t>
        </is>
      </c>
      <c r="J94" s="10" t="inlineStr">
        <is>
          <t>Sí</t>
        </is>
      </c>
      <c r="K94" s="10" t="inlineStr">
        <is>
          <t>No</t>
        </is>
      </c>
      <c r="L94" s="10" t="inlineStr">
        <is>
          <t>No</t>
        </is>
      </c>
      <c r="M94" s="10" t="inlineStr">
        <is>
          <t>No</t>
        </is>
      </c>
      <c r="N94" t="inlineStr">
        <is>
          <t>No</t>
        </is>
      </c>
      <c r="O94" t="inlineStr">
        <is>
          <t>Sí</t>
        </is>
      </c>
      <c r="P94" s="10" t="inlineStr">
        <is>
          <t>Mixto y tierra</t>
        </is>
      </c>
      <c r="S94" t="inlineStr">
        <is>
          <t>No</t>
        </is>
      </c>
      <c r="T94" t="inlineStr">
        <is>
          <t>No</t>
        </is>
      </c>
      <c r="W94" t="inlineStr">
        <is>
          <t>Sí</t>
        </is>
      </c>
      <c r="Z94" t="n">
        <v>0</v>
      </c>
      <c r="AA94" t="inlineStr">
        <is>
          <t>Sí</t>
        </is>
      </c>
      <c r="AB94" s="7" t="inlineStr"/>
      <c r="AC94" s="7" t="inlineStr"/>
    </row>
    <row r="95">
      <c r="A95" t="n">
        <v>297298148</v>
      </c>
      <c r="B95" t="inlineStr">
        <is>
          <t>Bolinas Ridge 1</t>
        </is>
      </c>
      <c r="C95" s="8">
        <f>IF(LEN(D95)=0,"SÍ","NO")</f>
        <v/>
      </c>
      <c r="D95" s="7">
        <f>IF(F95="","tipo; ","")&amp;IF(G95="","propulsión; ","")&amp;IF(COUNTIF(H95:M95,"Sí")=0,"uso; ","")&amp;IF(OR(N95="",N95="Revisar"),"silla de niños; ","")&amp;IF(O95="","neumáticos; ","")&amp;IF(P95="","terreno; ","")&amp;IF(AND(G95&lt;&gt;"Pedal",Q95=""),"autonomía; ","")&amp;IF(AND(G95&lt;&gt;"Pedal",R95=""),"velocidad; ","")&amp;IF(OR(S95="",S95="Revisar"),"licencia; ","")&amp;IF(T95="","plegable; ","")&amp;IF(U95="","peso; ","")&amp;IF(AND(G95&lt;&gt;"Pedal",V95=""),"carga máx; ","")&amp;IF(AND(ISNUMBER(SEARCH("Bici",F95)),COUNTIF('Altura por modelo'!$A$2:$A$2000,A95)=0),"altura; ","")&amp;IF(COUNTIFS('Altura por modelo'!$A$2:$A$2000,A95,'Altura por modelo'!$E$2:$E$2000,"")+COUNTIFS('Altura por modelo'!$A$2:$A$2000,A95,'Altura por modelo'!$F$2:$F$2000,"")&gt;0,"altura por talle; ","")&amp;IF(AA95&lt;&gt;"Sí","desactivado; ","")</f>
        <v/>
      </c>
      <c r="E95" t="inlineStr">
        <is>
          <t>Bicicletas &gt; MTB</t>
        </is>
      </c>
      <c r="F95" t="inlineStr">
        <is>
          <t>Bici de montaña (MTB)</t>
        </is>
      </c>
      <c r="G95" t="inlineStr">
        <is>
          <t>Pedal</t>
        </is>
      </c>
      <c r="H95" s="10" t="inlineStr">
        <is>
          <t>No</t>
        </is>
      </c>
      <c r="I95" s="10" t="inlineStr">
        <is>
          <t>No</t>
        </is>
      </c>
      <c r="J95" s="10" t="inlineStr">
        <is>
          <t>Sí</t>
        </is>
      </c>
      <c r="K95" s="10" t="inlineStr">
        <is>
          <t>No</t>
        </is>
      </c>
      <c r="L95" s="10" t="inlineStr">
        <is>
          <t>No</t>
        </is>
      </c>
      <c r="M95" s="10" t="inlineStr">
        <is>
          <t>No</t>
        </is>
      </c>
      <c r="N95" t="inlineStr">
        <is>
          <t>No</t>
        </is>
      </c>
      <c r="O95" t="inlineStr">
        <is>
          <t>Sí</t>
        </is>
      </c>
      <c r="P95" s="10" t="inlineStr">
        <is>
          <t>Mixto y tierra</t>
        </is>
      </c>
      <c r="S95" t="inlineStr">
        <is>
          <t>No</t>
        </is>
      </c>
      <c r="T95" t="inlineStr">
        <is>
          <t>No</t>
        </is>
      </c>
      <c r="W95" t="inlineStr">
        <is>
          <t>Sí</t>
        </is>
      </c>
      <c r="Z95" t="n">
        <v>0</v>
      </c>
      <c r="AA95" t="inlineStr">
        <is>
          <t>Sí</t>
        </is>
      </c>
      <c r="AB95" s="7" t="inlineStr"/>
      <c r="AC95" s="7" t="inlineStr"/>
    </row>
    <row r="96">
      <c r="A96" t="n">
        <v>297298255</v>
      </c>
      <c r="B96" t="inlineStr">
        <is>
          <t>Bolinas Ridge 2</t>
        </is>
      </c>
      <c r="C96" s="8">
        <f>IF(LEN(D96)=0,"SÍ","NO")</f>
        <v/>
      </c>
      <c r="D96" s="7">
        <f>IF(F96="","tipo; ","")&amp;IF(G96="","propulsión; ","")&amp;IF(COUNTIF(H96:M96,"Sí")=0,"uso; ","")&amp;IF(OR(N96="",N96="Revisar"),"silla de niños; ","")&amp;IF(O96="","neumáticos; ","")&amp;IF(P96="","terreno; ","")&amp;IF(AND(G96&lt;&gt;"Pedal",Q96=""),"autonomía; ","")&amp;IF(AND(G96&lt;&gt;"Pedal",R96=""),"velocidad; ","")&amp;IF(OR(S96="",S96="Revisar"),"licencia; ","")&amp;IF(T96="","plegable; ","")&amp;IF(U96="","peso; ","")&amp;IF(AND(G96&lt;&gt;"Pedal",V96=""),"carga máx; ","")&amp;IF(AND(ISNUMBER(SEARCH("Bici",F96)),COUNTIF('Altura por modelo'!$A$2:$A$2000,A96)=0),"altura; ","")&amp;IF(COUNTIFS('Altura por modelo'!$A$2:$A$2000,A96,'Altura por modelo'!$E$2:$E$2000,"")+COUNTIFS('Altura por modelo'!$A$2:$A$2000,A96,'Altura por modelo'!$F$2:$F$2000,"")&gt;0,"altura por talle; ","")&amp;IF(AA96&lt;&gt;"Sí","desactivado; ","")</f>
        <v/>
      </c>
      <c r="E96" t="inlineStr">
        <is>
          <t>Bicicletas &gt; MTB</t>
        </is>
      </c>
      <c r="F96" t="inlineStr">
        <is>
          <t>Bici de montaña (MTB)</t>
        </is>
      </c>
      <c r="G96" t="inlineStr">
        <is>
          <t>Pedal</t>
        </is>
      </c>
      <c r="H96" s="10" t="inlineStr">
        <is>
          <t>No</t>
        </is>
      </c>
      <c r="I96" s="10" t="inlineStr">
        <is>
          <t>No</t>
        </is>
      </c>
      <c r="J96" s="10" t="inlineStr">
        <is>
          <t>Sí</t>
        </is>
      </c>
      <c r="K96" s="10" t="inlineStr">
        <is>
          <t>No</t>
        </is>
      </c>
      <c r="L96" s="10" t="inlineStr">
        <is>
          <t>No</t>
        </is>
      </c>
      <c r="M96" s="10" t="inlineStr">
        <is>
          <t>No</t>
        </is>
      </c>
      <c r="N96" t="inlineStr">
        <is>
          <t>No</t>
        </is>
      </c>
      <c r="O96" t="inlineStr">
        <is>
          <t>Sí</t>
        </is>
      </c>
      <c r="P96" s="10" t="inlineStr">
        <is>
          <t>Mixto y tierra</t>
        </is>
      </c>
      <c r="S96" t="inlineStr">
        <is>
          <t>No</t>
        </is>
      </c>
      <c r="T96" t="inlineStr">
        <is>
          <t>No</t>
        </is>
      </c>
      <c r="W96" t="inlineStr">
        <is>
          <t>Sí</t>
        </is>
      </c>
      <c r="Z96" t="n">
        <v>0</v>
      </c>
      <c r="AA96" t="inlineStr">
        <is>
          <t>Sí</t>
        </is>
      </c>
      <c r="AB96" s="7" t="inlineStr"/>
      <c r="AC96" s="7" t="inlineStr"/>
    </row>
    <row r="97">
      <c r="A97" t="n">
        <v>297318978</v>
      </c>
      <c r="B97" t="inlineStr">
        <is>
          <t>Bobcat Trail 4 (2025)</t>
        </is>
      </c>
      <c r="C97" s="8">
        <f>IF(LEN(D97)=0,"SÍ","NO")</f>
        <v/>
      </c>
      <c r="D97" s="7">
        <f>IF(F97="","tipo; ","")&amp;IF(G97="","propulsión; ","")&amp;IF(COUNTIF(H97:M97,"Sí")=0,"uso; ","")&amp;IF(OR(N97="",N97="Revisar"),"silla de niños; ","")&amp;IF(O97="","neumáticos; ","")&amp;IF(P97="","terreno; ","")&amp;IF(AND(G97&lt;&gt;"Pedal",Q97=""),"autonomía; ","")&amp;IF(AND(G97&lt;&gt;"Pedal",R97=""),"velocidad; ","")&amp;IF(OR(S97="",S97="Revisar"),"licencia; ","")&amp;IF(T97="","plegable; ","")&amp;IF(U97="","peso; ","")&amp;IF(AND(G97&lt;&gt;"Pedal",V97=""),"carga máx; ","")&amp;IF(AND(ISNUMBER(SEARCH("Bici",F97)),COUNTIF('Altura por modelo'!$A$2:$A$2000,A97)=0),"altura; ","")&amp;IF(COUNTIFS('Altura por modelo'!$A$2:$A$2000,A97,'Altura por modelo'!$E$2:$E$2000,"")+COUNTIFS('Altura por modelo'!$A$2:$A$2000,A97,'Altura por modelo'!$F$2:$F$2000,"")&gt;0,"altura por talle; ","")&amp;IF(AA97&lt;&gt;"Sí","desactivado; ","")</f>
        <v/>
      </c>
      <c r="E97" t="inlineStr">
        <is>
          <t>Bicicletas &gt; MTB</t>
        </is>
      </c>
      <c r="F97" t="inlineStr">
        <is>
          <t>Bici de montaña (MTB)</t>
        </is>
      </c>
      <c r="G97" t="inlineStr">
        <is>
          <t>Pedal</t>
        </is>
      </c>
      <c r="H97" s="10" t="inlineStr">
        <is>
          <t>No</t>
        </is>
      </c>
      <c r="I97" s="10" t="inlineStr">
        <is>
          <t>No</t>
        </is>
      </c>
      <c r="J97" s="10" t="inlineStr">
        <is>
          <t>Sí</t>
        </is>
      </c>
      <c r="K97" s="10" t="inlineStr">
        <is>
          <t>No</t>
        </is>
      </c>
      <c r="L97" s="10" t="inlineStr">
        <is>
          <t>No</t>
        </is>
      </c>
      <c r="M97" s="10" t="inlineStr">
        <is>
          <t>No</t>
        </is>
      </c>
      <c r="N97" t="inlineStr">
        <is>
          <t>No</t>
        </is>
      </c>
      <c r="O97" t="inlineStr">
        <is>
          <t>Sí</t>
        </is>
      </c>
      <c r="P97" s="10" t="inlineStr">
        <is>
          <t>Mixto y tierra</t>
        </is>
      </c>
      <c r="S97" t="inlineStr">
        <is>
          <t>No</t>
        </is>
      </c>
      <c r="T97" t="inlineStr">
        <is>
          <t>No</t>
        </is>
      </c>
      <c r="W97" t="inlineStr">
        <is>
          <t>Sí</t>
        </is>
      </c>
      <c r="Z97" t="n">
        <v>0</v>
      </c>
      <c r="AA97" t="inlineStr">
        <is>
          <t>Sí</t>
        </is>
      </c>
      <c r="AB97" s="7" t="inlineStr"/>
      <c r="AC97" s="7" t="inlineStr"/>
    </row>
    <row r="98">
      <c r="A98" t="n">
        <v>297327810</v>
      </c>
      <c r="B98" t="inlineStr">
        <is>
          <t>San Quentin 1</t>
        </is>
      </c>
      <c r="C98" s="8">
        <f>IF(LEN(D98)=0,"SÍ","NO")</f>
        <v/>
      </c>
      <c r="D98" s="7">
        <f>IF(F98="","tipo; ","")&amp;IF(G98="","propulsión; ","")&amp;IF(COUNTIF(H98:M98,"Sí")=0,"uso; ","")&amp;IF(OR(N98="",N98="Revisar"),"silla de niños; ","")&amp;IF(O98="","neumáticos; ","")&amp;IF(P98="","terreno; ","")&amp;IF(AND(G98&lt;&gt;"Pedal",Q98=""),"autonomía; ","")&amp;IF(AND(G98&lt;&gt;"Pedal",R98=""),"velocidad; ","")&amp;IF(OR(S98="",S98="Revisar"),"licencia; ","")&amp;IF(T98="","plegable; ","")&amp;IF(U98="","peso; ","")&amp;IF(AND(G98&lt;&gt;"Pedal",V98=""),"carga máx; ","")&amp;IF(AND(ISNUMBER(SEARCH("Bici",F98)),COUNTIF('Altura por modelo'!$A$2:$A$2000,A98)=0),"altura; ","")&amp;IF(COUNTIFS('Altura por modelo'!$A$2:$A$2000,A98,'Altura por modelo'!$E$2:$E$2000,"")+COUNTIFS('Altura por modelo'!$A$2:$A$2000,A98,'Altura por modelo'!$F$2:$F$2000,"")&gt;0,"altura por talle; ","")&amp;IF(AA98&lt;&gt;"Sí","desactivado; ","")</f>
        <v/>
      </c>
      <c r="E98" t="inlineStr">
        <is>
          <t>Bicicletas &gt; MTB</t>
        </is>
      </c>
      <c r="F98" t="inlineStr">
        <is>
          <t>Bici de montaña (MTB)</t>
        </is>
      </c>
      <c r="G98" t="inlineStr">
        <is>
          <t>Pedal</t>
        </is>
      </c>
      <c r="H98" s="10" t="inlineStr">
        <is>
          <t>No</t>
        </is>
      </c>
      <c r="I98" s="10" t="inlineStr">
        <is>
          <t>No</t>
        </is>
      </c>
      <c r="J98" s="10" t="inlineStr">
        <is>
          <t>Sí</t>
        </is>
      </c>
      <c r="K98" s="10" t="inlineStr">
        <is>
          <t>No</t>
        </is>
      </c>
      <c r="L98" s="10" t="inlineStr">
        <is>
          <t>No</t>
        </is>
      </c>
      <c r="M98" s="10" t="inlineStr">
        <is>
          <t>No</t>
        </is>
      </c>
      <c r="N98" t="inlineStr">
        <is>
          <t>No</t>
        </is>
      </c>
      <c r="O98" t="inlineStr">
        <is>
          <t>Sí</t>
        </is>
      </c>
      <c r="P98" s="10" t="inlineStr">
        <is>
          <t>Mixto y tierra</t>
        </is>
      </c>
      <c r="S98" t="inlineStr">
        <is>
          <t>No</t>
        </is>
      </c>
      <c r="T98" t="inlineStr">
        <is>
          <t>No</t>
        </is>
      </c>
      <c r="W98" t="inlineStr">
        <is>
          <t>Sí</t>
        </is>
      </c>
      <c r="Z98" t="n">
        <v>0</v>
      </c>
      <c r="AA98" t="inlineStr">
        <is>
          <t>Sí</t>
        </is>
      </c>
      <c r="AB98" s="7" t="inlineStr"/>
      <c r="AC98" s="7" t="inlineStr"/>
    </row>
    <row r="99">
      <c r="A99" t="n">
        <v>349261728</v>
      </c>
      <c r="B99" t="inlineStr">
        <is>
          <t>Boys Don't Cry</t>
        </is>
      </c>
      <c r="C99" s="8">
        <f>IF(LEN(D99)=0,"SÍ","NO")</f>
        <v/>
      </c>
      <c r="D99" s="7">
        <f>IF(F99="","tipo; ","")&amp;IF(G99="","propulsión; ","")&amp;IF(COUNTIF(H99:M99,"Sí")=0,"uso; ","")&amp;IF(OR(N99="",N99="Revisar"),"silla de niños; ","")&amp;IF(O99="","neumáticos; ","")&amp;IF(P99="","terreno; ","")&amp;IF(AND(G99&lt;&gt;"Pedal",Q99=""),"autonomía; ","")&amp;IF(AND(G99&lt;&gt;"Pedal",R99=""),"velocidad; ","")&amp;IF(OR(S99="",S99="Revisar"),"licencia; ","")&amp;IF(T99="","plegable; ","")&amp;IF(U99="","peso; ","")&amp;IF(AND(G99&lt;&gt;"Pedal",V99=""),"carga máx; ","")&amp;IF(AND(ISNUMBER(SEARCH("Bici",F99)),COUNTIF('Altura por modelo'!$A$2:$A$2000,A99)=0),"altura; ","")&amp;IF(COUNTIFS('Altura por modelo'!$A$2:$A$2000,A99,'Altura por modelo'!$E$2:$E$2000,"")+COUNTIFS('Altura por modelo'!$A$2:$A$2000,A99,'Altura por modelo'!$F$2:$F$2000,"")&gt;0,"altura por talle; ","")&amp;IF(AA99&lt;&gt;"Sí","desactivado; ","")</f>
        <v/>
      </c>
      <c r="E99" t="inlineStr">
        <is>
          <t>Bicicletas &gt; MTB</t>
        </is>
      </c>
      <c r="F99" t="inlineStr">
        <is>
          <t>Bici de montaña (MTB)</t>
        </is>
      </c>
      <c r="G99" t="inlineStr">
        <is>
          <t>Pedal</t>
        </is>
      </c>
      <c r="H99" s="10" t="inlineStr">
        <is>
          <t>No</t>
        </is>
      </c>
      <c r="I99" s="10" t="inlineStr">
        <is>
          <t>No</t>
        </is>
      </c>
      <c r="J99" s="10" t="inlineStr">
        <is>
          <t>Sí</t>
        </is>
      </c>
      <c r="K99" s="10" t="inlineStr">
        <is>
          <t>No</t>
        </is>
      </c>
      <c r="L99" s="10" t="inlineStr">
        <is>
          <t>No</t>
        </is>
      </c>
      <c r="M99" s="10" t="inlineStr">
        <is>
          <t>No</t>
        </is>
      </c>
      <c r="N99" t="inlineStr">
        <is>
          <t>No</t>
        </is>
      </c>
      <c r="O99" t="inlineStr">
        <is>
          <t>Sí</t>
        </is>
      </c>
      <c r="P99" s="10" t="inlineStr">
        <is>
          <t>Mixto y tierra</t>
        </is>
      </c>
      <c r="S99" t="inlineStr">
        <is>
          <t>No</t>
        </is>
      </c>
      <c r="T99" t="inlineStr">
        <is>
          <t>No</t>
        </is>
      </c>
      <c r="W99" t="inlineStr">
        <is>
          <t>Sí</t>
        </is>
      </c>
      <c r="Z99" t="n">
        <v>0</v>
      </c>
      <c r="AA99" t="inlineStr">
        <is>
          <t>Sí</t>
        </is>
      </c>
      <c r="AB99" s="7" t="inlineStr"/>
      <c r="AC99" s="7" t="inlineStr"/>
    </row>
    <row r="100">
      <c r="A100" t="n">
        <v>349261738</v>
      </c>
      <c r="B100" t="inlineStr">
        <is>
          <t>Lone Ranger</t>
        </is>
      </c>
      <c r="C100" s="8">
        <f>IF(LEN(D100)=0,"SÍ","NO")</f>
        <v/>
      </c>
      <c r="D100" s="7">
        <f>IF(F100="","tipo; ","")&amp;IF(G100="","propulsión; ","")&amp;IF(COUNTIF(H100:M100,"Sí")=0,"uso; ","")&amp;IF(OR(N100="",N100="Revisar"),"silla de niños; ","")&amp;IF(O100="","neumáticos; ","")&amp;IF(P100="","terreno; ","")&amp;IF(AND(G100&lt;&gt;"Pedal",Q100=""),"autonomía; ","")&amp;IF(AND(G100&lt;&gt;"Pedal",R100=""),"velocidad; ","")&amp;IF(OR(S100="",S100="Revisar"),"licencia; ","")&amp;IF(T100="","plegable; ","")&amp;IF(U100="","peso; ","")&amp;IF(AND(G100&lt;&gt;"Pedal",V100=""),"carga máx; ","")&amp;IF(AND(ISNUMBER(SEARCH("Bici",F100)),COUNTIF('Altura por modelo'!$A$2:$A$2000,A100)=0),"altura; ","")&amp;IF(COUNTIFS('Altura por modelo'!$A$2:$A$2000,A100,'Altura por modelo'!$E$2:$E$2000,"")+COUNTIFS('Altura por modelo'!$A$2:$A$2000,A100,'Altura por modelo'!$F$2:$F$2000,"")&gt;0,"altura por talle; ","")&amp;IF(AA100&lt;&gt;"Sí","desactivado; ","")</f>
        <v/>
      </c>
      <c r="E100" t="inlineStr">
        <is>
          <t>Bicicletas &gt; MTB</t>
        </is>
      </c>
      <c r="F100" t="inlineStr">
        <is>
          <t>Bici de montaña (MTB)</t>
        </is>
      </c>
      <c r="G100" t="inlineStr">
        <is>
          <t>Pedal</t>
        </is>
      </c>
      <c r="H100" s="10" t="inlineStr">
        <is>
          <t>No</t>
        </is>
      </c>
      <c r="I100" s="10" t="inlineStr">
        <is>
          <t>No</t>
        </is>
      </c>
      <c r="J100" s="10" t="inlineStr">
        <is>
          <t>Sí</t>
        </is>
      </c>
      <c r="K100" s="10" t="inlineStr">
        <is>
          <t>No</t>
        </is>
      </c>
      <c r="L100" s="10" t="inlineStr">
        <is>
          <t>No</t>
        </is>
      </c>
      <c r="M100" s="10" t="inlineStr">
        <is>
          <t>No</t>
        </is>
      </c>
      <c r="N100" t="inlineStr">
        <is>
          <t>No</t>
        </is>
      </c>
      <c r="O100" t="inlineStr">
        <is>
          <t>Sí</t>
        </is>
      </c>
      <c r="P100" s="10" t="inlineStr">
        <is>
          <t>Mixto y tierra</t>
        </is>
      </c>
      <c r="S100" t="inlineStr">
        <is>
          <t>No</t>
        </is>
      </c>
      <c r="T100" t="inlineStr">
        <is>
          <t>No</t>
        </is>
      </c>
      <c r="W100" t="inlineStr">
        <is>
          <t>Sí</t>
        </is>
      </c>
      <c r="Z100" t="n">
        <v>0</v>
      </c>
      <c r="AA100" t="inlineStr">
        <is>
          <t>Sí</t>
        </is>
      </c>
      <c r="AB100" s="7" t="inlineStr"/>
      <c r="AC100" s="7" t="inlineStr"/>
    </row>
    <row r="101">
      <c r="A101" t="n">
        <v>349261821</v>
      </c>
      <c r="B101" t="inlineStr">
        <is>
          <t>Sunday</t>
        </is>
      </c>
      <c r="C101" s="8">
        <f>IF(LEN(D101)=0,"SÍ","NO")</f>
        <v/>
      </c>
      <c r="D101" s="7">
        <f>IF(F101="","tipo; ","")&amp;IF(G101="","propulsión; ","")&amp;IF(COUNTIF(H101:M101,"Sí")=0,"uso; ","")&amp;IF(OR(N101="",N101="Revisar"),"silla de niños; ","")&amp;IF(O101="","neumáticos; ","")&amp;IF(P101="","terreno; ","")&amp;IF(AND(G101&lt;&gt;"Pedal",Q101=""),"autonomía; ","")&amp;IF(AND(G101&lt;&gt;"Pedal",R101=""),"velocidad; ","")&amp;IF(OR(S101="",S101="Revisar"),"licencia; ","")&amp;IF(T101="","plegable; ","")&amp;IF(U101="","peso; ","")&amp;IF(AND(G101&lt;&gt;"Pedal",V101=""),"carga máx; ","")&amp;IF(AND(ISNUMBER(SEARCH("Bici",F101)),COUNTIF('Altura por modelo'!$A$2:$A$2000,A101)=0),"altura; ","")&amp;IF(COUNTIFS('Altura por modelo'!$A$2:$A$2000,A101,'Altura por modelo'!$E$2:$E$2000,"")+COUNTIFS('Altura por modelo'!$A$2:$A$2000,A101,'Altura por modelo'!$F$2:$F$2000,"")&gt;0,"altura por talle; ","")&amp;IF(AA101&lt;&gt;"Sí","desactivado; ","")</f>
        <v/>
      </c>
      <c r="E101" t="inlineStr">
        <is>
          <t>Bicicletas &gt; MTB</t>
        </is>
      </c>
      <c r="F101" t="inlineStr">
        <is>
          <t>Bici de montaña (MTB)</t>
        </is>
      </c>
      <c r="G101" t="inlineStr">
        <is>
          <t>Pedal</t>
        </is>
      </c>
      <c r="H101" s="10" t="inlineStr">
        <is>
          <t>No</t>
        </is>
      </c>
      <c r="I101" s="10" t="inlineStr">
        <is>
          <t>No</t>
        </is>
      </c>
      <c r="J101" s="10" t="inlineStr">
        <is>
          <t>Sí</t>
        </is>
      </c>
      <c r="K101" s="10" t="inlineStr">
        <is>
          <t>No</t>
        </is>
      </c>
      <c r="L101" s="10" t="inlineStr">
        <is>
          <t>No</t>
        </is>
      </c>
      <c r="M101" s="10" t="inlineStr">
        <is>
          <t>No</t>
        </is>
      </c>
      <c r="N101" t="inlineStr">
        <is>
          <t>No</t>
        </is>
      </c>
      <c r="O101" t="inlineStr">
        <is>
          <t>Sí</t>
        </is>
      </c>
      <c r="P101" s="10" t="inlineStr">
        <is>
          <t>Mixto y tierra</t>
        </is>
      </c>
      <c r="S101" t="inlineStr">
        <is>
          <t>No</t>
        </is>
      </c>
      <c r="T101" t="inlineStr">
        <is>
          <t>No</t>
        </is>
      </c>
      <c r="W101" t="inlineStr">
        <is>
          <t>Sí</t>
        </is>
      </c>
      <c r="Z101" t="n">
        <v>0</v>
      </c>
      <c r="AA101" t="inlineStr">
        <is>
          <t>Sí</t>
        </is>
      </c>
      <c r="AB101" s="7" t="inlineStr"/>
      <c r="AC101" s="7" t="inlineStr"/>
    </row>
    <row r="102">
      <c r="A102" t="n">
        <v>349261825</v>
      </c>
      <c r="B102" t="inlineStr">
        <is>
          <t>Sunday Low</t>
        </is>
      </c>
      <c r="C102" s="8">
        <f>IF(LEN(D102)=0,"SÍ","NO")</f>
        <v/>
      </c>
      <c r="D102" s="7">
        <f>IF(F102="","tipo; ","")&amp;IF(G102="","propulsión; ","")&amp;IF(COUNTIF(H102:M102,"Sí")=0,"uso; ","")&amp;IF(OR(N102="",N102="Revisar"),"silla de niños; ","")&amp;IF(O102="","neumáticos; ","")&amp;IF(P102="","terreno; ","")&amp;IF(AND(G102&lt;&gt;"Pedal",Q102=""),"autonomía; ","")&amp;IF(AND(G102&lt;&gt;"Pedal",R102=""),"velocidad; ","")&amp;IF(OR(S102="",S102="Revisar"),"licencia; ","")&amp;IF(T102="","plegable; ","")&amp;IF(U102="","peso; ","")&amp;IF(AND(G102&lt;&gt;"Pedal",V102=""),"carga máx; ","")&amp;IF(AND(ISNUMBER(SEARCH("Bici",F102)),COUNTIF('Altura por modelo'!$A$2:$A$2000,A102)=0),"altura; ","")&amp;IF(COUNTIFS('Altura por modelo'!$A$2:$A$2000,A102,'Altura por modelo'!$E$2:$E$2000,"")+COUNTIFS('Altura por modelo'!$A$2:$A$2000,A102,'Altura por modelo'!$F$2:$F$2000,"")&gt;0,"altura por talle; ","")&amp;IF(AA102&lt;&gt;"Sí","desactivado; ","")</f>
        <v/>
      </c>
      <c r="E102" t="inlineStr">
        <is>
          <t>Bicicletas &gt; MTB</t>
        </is>
      </c>
      <c r="F102" t="inlineStr">
        <is>
          <t>Bici de montaña (MTB)</t>
        </is>
      </c>
      <c r="G102" t="inlineStr">
        <is>
          <t>Pedal</t>
        </is>
      </c>
      <c r="H102" s="10" t="inlineStr">
        <is>
          <t>No</t>
        </is>
      </c>
      <c r="I102" s="10" t="inlineStr">
        <is>
          <t>No</t>
        </is>
      </c>
      <c r="J102" s="10" t="inlineStr">
        <is>
          <t>Sí</t>
        </is>
      </c>
      <c r="K102" s="10" t="inlineStr">
        <is>
          <t>No</t>
        </is>
      </c>
      <c r="L102" s="10" t="inlineStr">
        <is>
          <t>No</t>
        </is>
      </c>
      <c r="M102" s="10" t="inlineStr">
        <is>
          <t>No</t>
        </is>
      </c>
      <c r="N102" t="inlineStr">
        <is>
          <t>No</t>
        </is>
      </c>
      <c r="O102" t="inlineStr">
        <is>
          <t>Sí</t>
        </is>
      </c>
      <c r="P102" s="10" t="inlineStr">
        <is>
          <t>Mixto y tierra</t>
        </is>
      </c>
      <c r="S102" t="inlineStr">
        <is>
          <t>No</t>
        </is>
      </c>
      <c r="T102" t="inlineStr">
        <is>
          <t>No</t>
        </is>
      </c>
      <c r="W102" t="inlineStr">
        <is>
          <t>Sí</t>
        </is>
      </c>
      <c r="Z102" t="n">
        <v>0</v>
      </c>
      <c r="AA102" t="inlineStr">
        <is>
          <t>Sí</t>
        </is>
      </c>
      <c r="AB102" s="7" t="inlineStr"/>
      <c r="AC102" s="7" t="inlineStr"/>
    </row>
    <row r="103">
      <c r="A103" t="n">
        <v>349261827</v>
      </c>
      <c r="B103" t="inlineStr">
        <is>
          <t>Big Time</t>
        </is>
      </c>
      <c r="C103" s="8">
        <f>IF(LEN(D103)=0,"SÍ","NO")</f>
        <v/>
      </c>
      <c r="D103" s="7">
        <f>IF(F103="","tipo; ","")&amp;IF(G103="","propulsión; ","")&amp;IF(COUNTIF(H103:M103,"Sí")=0,"uso; ","")&amp;IF(OR(N103="",N103="Revisar"),"silla de niños; ","")&amp;IF(O103="","neumáticos; ","")&amp;IF(P103="","terreno; ","")&amp;IF(AND(G103&lt;&gt;"Pedal",Q103=""),"autonomía; ","")&amp;IF(AND(G103&lt;&gt;"Pedal",R103=""),"velocidad; ","")&amp;IF(OR(S103="",S103="Revisar"),"licencia; ","")&amp;IF(T103="","plegable; ","")&amp;IF(U103="","peso; ","")&amp;IF(AND(G103&lt;&gt;"Pedal",V103=""),"carga máx; ","")&amp;IF(AND(ISNUMBER(SEARCH("Bici",F103)),COUNTIF('Altura por modelo'!$A$2:$A$2000,A103)=0),"altura; ","")&amp;IF(COUNTIFS('Altura por modelo'!$A$2:$A$2000,A103,'Altura por modelo'!$E$2:$E$2000,"")+COUNTIFS('Altura por modelo'!$A$2:$A$2000,A103,'Altura por modelo'!$F$2:$F$2000,"")&gt;0,"altura por talle; ","")&amp;IF(AA103&lt;&gt;"Sí","desactivado; ","")</f>
        <v/>
      </c>
      <c r="E103" t="inlineStr">
        <is>
          <t>Bicicletas &gt; MTB</t>
        </is>
      </c>
      <c r="F103" t="inlineStr">
        <is>
          <t>Bici de montaña (MTB)</t>
        </is>
      </c>
      <c r="G103" t="inlineStr">
        <is>
          <t>Pedal</t>
        </is>
      </c>
      <c r="H103" s="10" t="inlineStr">
        <is>
          <t>No</t>
        </is>
      </c>
      <c r="I103" s="10" t="inlineStr">
        <is>
          <t>No</t>
        </is>
      </c>
      <c r="J103" s="10" t="inlineStr">
        <is>
          <t>Sí</t>
        </is>
      </c>
      <c r="K103" s="10" t="inlineStr">
        <is>
          <t>No</t>
        </is>
      </c>
      <c r="L103" s="10" t="inlineStr">
        <is>
          <t>No</t>
        </is>
      </c>
      <c r="M103" s="10" t="inlineStr">
        <is>
          <t>No</t>
        </is>
      </c>
      <c r="N103" t="inlineStr">
        <is>
          <t>No</t>
        </is>
      </c>
      <c r="O103" t="inlineStr">
        <is>
          <t>Sí</t>
        </is>
      </c>
      <c r="P103" s="10" t="inlineStr">
        <is>
          <t>Mixto y tierra</t>
        </is>
      </c>
      <c r="S103" t="inlineStr">
        <is>
          <t>No</t>
        </is>
      </c>
      <c r="T103" t="inlineStr">
        <is>
          <t>No</t>
        </is>
      </c>
      <c r="W103" t="inlineStr">
        <is>
          <t>Sí</t>
        </is>
      </c>
      <c r="Z103" t="n">
        <v>0</v>
      </c>
      <c r="AA103" t="inlineStr">
        <is>
          <t>Sí</t>
        </is>
      </c>
      <c r="AB103" s="7" t="inlineStr"/>
      <c r="AC103" s="7" t="inlineStr"/>
    </row>
    <row r="104">
      <c r="A104" t="n">
        <v>352623351</v>
      </c>
      <c r="B104" t="inlineStr">
        <is>
          <t>Rift Zone 1 (2026)</t>
        </is>
      </c>
      <c r="C104" s="8">
        <f>IF(LEN(D104)=0,"SÍ","NO")</f>
        <v/>
      </c>
      <c r="D104" s="7">
        <f>IF(F104="","tipo; ","")&amp;IF(G104="","propulsión; ","")&amp;IF(COUNTIF(H104:M104,"Sí")=0,"uso; ","")&amp;IF(OR(N104="",N104="Revisar"),"silla de niños; ","")&amp;IF(O104="","neumáticos; ","")&amp;IF(P104="","terreno; ","")&amp;IF(AND(G104&lt;&gt;"Pedal",Q104=""),"autonomía; ","")&amp;IF(AND(G104&lt;&gt;"Pedal",R104=""),"velocidad; ","")&amp;IF(OR(S104="",S104="Revisar"),"licencia; ","")&amp;IF(T104="","plegable; ","")&amp;IF(U104="","peso; ","")&amp;IF(AND(G104&lt;&gt;"Pedal",V104=""),"carga máx; ","")&amp;IF(AND(ISNUMBER(SEARCH("Bici",F104)),COUNTIF('Altura por modelo'!$A$2:$A$2000,A104)=0),"altura; ","")&amp;IF(COUNTIFS('Altura por modelo'!$A$2:$A$2000,A104,'Altura por modelo'!$E$2:$E$2000,"")+COUNTIFS('Altura por modelo'!$A$2:$A$2000,A104,'Altura por modelo'!$F$2:$F$2000,"")&gt;0,"altura por talle; ","")&amp;IF(AA104&lt;&gt;"Sí","desactivado; ","")</f>
        <v/>
      </c>
      <c r="E104" t="inlineStr">
        <is>
          <t>Bicicletas &gt; MTB</t>
        </is>
      </c>
      <c r="F104" t="inlineStr">
        <is>
          <t>Bici de montaña (MTB)</t>
        </is>
      </c>
      <c r="G104" t="inlineStr">
        <is>
          <t>Pedal</t>
        </is>
      </c>
      <c r="H104" s="10" t="inlineStr">
        <is>
          <t>No</t>
        </is>
      </c>
      <c r="I104" s="10" t="inlineStr">
        <is>
          <t>No</t>
        </is>
      </c>
      <c r="J104" s="10" t="inlineStr">
        <is>
          <t>Sí</t>
        </is>
      </c>
      <c r="K104" s="10" t="inlineStr">
        <is>
          <t>No</t>
        </is>
      </c>
      <c r="L104" s="10" t="inlineStr">
        <is>
          <t>No</t>
        </is>
      </c>
      <c r="M104" s="10" t="inlineStr">
        <is>
          <t>No</t>
        </is>
      </c>
      <c r="N104" t="inlineStr">
        <is>
          <t>No</t>
        </is>
      </c>
      <c r="O104" t="inlineStr">
        <is>
          <t>Sí</t>
        </is>
      </c>
      <c r="P104" s="10" t="inlineStr">
        <is>
          <t>Mixto y tierra</t>
        </is>
      </c>
      <c r="S104" t="inlineStr">
        <is>
          <t>No</t>
        </is>
      </c>
      <c r="T104" t="inlineStr">
        <is>
          <t>No</t>
        </is>
      </c>
      <c r="W104" t="inlineStr">
        <is>
          <t>Sí</t>
        </is>
      </c>
      <c r="Z104" t="n">
        <v>0</v>
      </c>
      <c r="AA104" t="inlineStr">
        <is>
          <t>Sí</t>
        </is>
      </c>
      <c r="AB104" s="7" t="inlineStr"/>
      <c r="AC104" s="7" t="inlineStr"/>
    </row>
    <row r="105">
      <c r="A105" t="n">
        <v>353164248</v>
      </c>
      <c r="B105" t="inlineStr">
        <is>
          <t>Rift Zone 2 29 (2025)</t>
        </is>
      </c>
      <c r="C105" s="8">
        <f>IF(LEN(D105)=0,"SÍ","NO")</f>
        <v/>
      </c>
      <c r="D105" s="7">
        <f>IF(F105="","tipo; ","")&amp;IF(G105="","propulsión; ","")&amp;IF(COUNTIF(H105:M105,"Sí")=0,"uso; ","")&amp;IF(OR(N105="",N105="Revisar"),"silla de niños; ","")&amp;IF(O105="","neumáticos; ","")&amp;IF(P105="","terreno; ","")&amp;IF(AND(G105&lt;&gt;"Pedal",Q105=""),"autonomía; ","")&amp;IF(AND(G105&lt;&gt;"Pedal",R105=""),"velocidad; ","")&amp;IF(OR(S105="",S105="Revisar"),"licencia; ","")&amp;IF(T105="","plegable; ","")&amp;IF(U105="","peso; ","")&amp;IF(AND(G105&lt;&gt;"Pedal",V105=""),"carga máx; ","")&amp;IF(AND(ISNUMBER(SEARCH("Bici",F105)),COUNTIF('Altura por modelo'!$A$2:$A$2000,A105)=0),"altura; ","")&amp;IF(COUNTIFS('Altura por modelo'!$A$2:$A$2000,A105,'Altura por modelo'!$E$2:$E$2000,"")+COUNTIFS('Altura por modelo'!$A$2:$A$2000,A105,'Altura por modelo'!$F$2:$F$2000,"")&gt;0,"altura por talle; ","")&amp;IF(AA105&lt;&gt;"Sí","desactivado; ","")</f>
        <v/>
      </c>
      <c r="E105" t="inlineStr">
        <is>
          <t>Bicicletas &gt; MTB</t>
        </is>
      </c>
      <c r="F105" t="inlineStr">
        <is>
          <t>Bici de montaña (MTB)</t>
        </is>
      </c>
      <c r="G105" t="inlineStr">
        <is>
          <t>Pedal</t>
        </is>
      </c>
      <c r="H105" s="10" t="inlineStr">
        <is>
          <t>No</t>
        </is>
      </c>
      <c r="I105" s="10" t="inlineStr">
        <is>
          <t>No</t>
        </is>
      </c>
      <c r="J105" s="10" t="inlineStr">
        <is>
          <t>Sí</t>
        </is>
      </c>
      <c r="K105" s="10" t="inlineStr">
        <is>
          <t>No</t>
        </is>
      </c>
      <c r="L105" s="10" t="inlineStr">
        <is>
          <t>No</t>
        </is>
      </c>
      <c r="M105" s="10" t="inlineStr">
        <is>
          <t>No</t>
        </is>
      </c>
      <c r="N105" t="inlineStr">
        <is>
          <t>No</t>
        </is>
      </c>
      <c r="O105" t="inlineStr">
        <is>
          <t>Sí</t>
        </is>
      </c>
      <c r="P105" s="10" t="inlineStr">
        <is>
          <t>Mixto y tierra</t>
        </is>
      </c>
      <c r="S105" t="inlineStr">
        <is>
          <t>No</t>
        </is>
      </c>
      <c r="T105" t="inlineStr">
        <is>
          <t>No</t>
        </is>
      </c>
      <c r="W105" t="inlineStr">
        <is>
          <t>Sí</t>
        </is>
      </c>
      <c r="Z105" t="n">
        <v>0</v>
      </c>
      <c r="AA105" t="inlineStr">
        <is>
          <t>Sí</t>
        </is>
      </c>
      <c r="AB105" s="7" t="inlineStr"/>
      <c r="AC105" s="7" t="inlineStr"/>
    </row>
    <row r="106">
      <c r="A106" t="n">
        <v>353164254</v>
      </c>
      <c r="B106" t="inlineStr">
        <is>
          <t>Bobcat Trail 5 (2025)</t>
        </is>
      </c>
      <c r="C106" s="8">
        <f>IF(LEN(D106)=0,"SÍ","NO")</f>
        <v/>
      </c>
      <c r="D106" s="7">
        <f>IF(F106="","tipo; ","")&amp;IF(G106="","propulsión; ","")&amp;IF(COUNTIF(H106:M106,"Sí")=0,"uso; ","")&amp;IF(OR(N106="",N106="Revisar"),"silla de niños; ","")&amp;IF(O106="","neumáticos; ","")&amp;IF(P106="","terreno; ","")&amp;IF(AND(G106&lt;&gt;"Pedal",Q106=""),"autonomía; ","")&amp;IF(AND(G106&lt;&gt;"Pedal",R106=""),"velocidad; ","")&amp;IF(OR(S106="",S106="Revisar"),"licencia; ","")&amp;IF(T106="","plegable; ","")&amp;IF(U106="","peso; ","")&amp;IF(AND(G106&lt;&gt;"Pedal",V106=""),"carga máx; ","")&amp;IF(AND(ISNUMBER(SEARCH("Bici",F106)),COUNTIF('Altura por modelo'!$A$2:$A$2000,A106)=0),"altura; ","")&amp;IF(COUNTIFS('Altura por modelo'!$A$2:$A$2000,A106,'Altura por modelo'!$E$2:$E$2000,"")+COUNTIFS('Altura por modelo'!$A$2:$A$2000,A106,'Altura por modelo'!$F$2:$F$2000,"")&gt;0,"altura por talle; ","")&amp;IF(AA106&lt;&gt;"Sí","desactivado; ","")</f>
        <v/>
      </c>
      <c r="E106" t="inlineStr">
        <is>
          <t>Bicicletas &gt; MTB</t>
        </is>
      </c>
      <c r="F106" t="inlineStr">
        <is>
          <t>Bici de montaña (MTB)</t>
        </is>
      </c>
      <c r="G106" t="inlineStr">
        <is>
          <t>Pedal</t>
        </is>
      </c>
      <c r="H106" s="10" t="inlineStr">
        <is>
          <t>No</t>
        </is>
      </c>
      <c r="I106" s="10" t="inlineStr">
        <is>
          <t>No</t>
        </is>
      </c>
      <c r="J106" s="10" t="inlineStr">
        <is>
          <t>Sí</t>
        </is>
      </c>
      <c r="K106" s="10" t="inlineStr">
        <is>
          <t>No</t>
        </is>
      </c>
      <c r="L106" s="10" t="inlineStr">
        <is>
          <t>No</t>
        </is>
      </c>
      <c r="M106" s="10" t="inlineStr">
        <is>
          <t>No</t>
        </is>
      </c>
      <c r="N106" t="inlineStr">
        <is>
          <t>No</t>
        </is>
      </c>
      <c r="O106" t="inlineStr">
        <is>
          <t>Sí</t>
        </is>
      </c>
      <c r="P106" s="10" t="inlineStr">
        <is>
          <t>Mixto y tierra</t>
        </is>
      </c>
      <c r="S106" t="inlineStr">
        <is>
          <t>No</t>
        </is>
      </c>
      <c r="T106" t="inlineStr">
        <is>
          <t>No</t>
        </is>
      </c>
      <c r="W106" t="inlineStr">
        <is>
          <t>Sí</t>
        </is>
      </c>
      <c r="Z106" t="n">
        <v>0</v>
      </c>
      <c r="AA106" t="inlineStr">
        <is>
          <t>Sí</t>
        </is>
      </c>
      <c r="AB106" s="7" t="inlineStr"/>
      <c r="AC106" s="7" t="inlineStr"/>
    </row>
    <row r="107">
      <c r="A107" t="n">
        <v>354117068</v>
      </c>
      <c r="B107" t="inlineStr">
        <is>
          <t>Pine Mountain 1 - 29</t>
        </is>
      </c>
      <c r="C107" s="8">
        <f>IF(LEN(D107)=0,"SÍ","NO")</f>
        <v/>
      </c>
      <c r="D107" s="7">
        <f>IF(F107="","tipo; ","")&amp;IF(G107="","propulsión; ","")&amp;IF(COUNTIF(H107:M107,"Sí")=0,"uso; ","")&amp;IF(OR(N107="",N107="Revisar"),"silla de niños; ","")&amp;IF(O107="","neumáticos; ","")&amp;IF(P107="","terreno; ","")&amp;IF(AND(G107&lt;&gt;"Pedal",Q107=""),"autonomía; ","")&amp;IF(AND(G107&lt;&gt;"Pedal",R107=""),"velocidad; ","")&amp;IF(OR(S107="",S107="Revisar"),"licencia; ","")&amp;IF(T107="","plegable; ","")&amp;IF(U107="","peso; ","")&amp;IF(AND(G107&lt;&gt;"Pedal",V107=""),"carga máx; ","")&amp;IF(AND(ISNUMBER(SEARCH("Bici",F107)),COUNTIF('Altura por modelo'!$A$2:$A$2000,A107)=0),"altura; ","")&amp;IF(COUNTIFS('Altura por modelo'!$A$2:$A$2000,A107,'Altura por modelo'!$E$2:$E$2000,"")+COUNTIFS('Altura por modelo'!$A$2:$A$2000,A107,'Altura por modelo'!$F$2:$F$2000,"")&gt;0,"altura por talle; ","")&amp;IF(AA107&lt;&gt;"Sí","desactivado; ","")</f>
        <v/>
      </c>
      <c r="E107" t="inlineStr">
        <is>
          <t>Bicicletas &gt; MTB</t>
        </is>
      </c>
      <c r="F107" t="inlineStr">
        <is>
          <t>Bici de montaña (MTB)</t>
        </is>
      </c>
      <c r="G107" t="inlineStr">
        <is>
          <t>Pedal</t>
        </is>
      </c>
      <c r="H107" s="10" t="inlineStr">
        <is>
          <t>No</t>
        </is>
      </c>
      <c r="I107" s="10" t="inlineStr">
        <is>
          <t>No</t>
        </is>
      </c>
      <c r="J107" s="10" t="inlineStr">
        <is>
          <t>Sí</t>
        </is>
      </c>
      <c r="K107" s="10" t="inlineStr">
        <is>
          <t>No</t>
        </is>
      </c>
      <c r="L107" s="10" t="inlineStr">
        <is>
          <t>No</t>
        </is>
      </c>
      <c r="M107" s="10" t="inlineStr">
        <is>
          <t>No</t>
        </is>
      </c>
      <c r="N107" t="inlineStr">
        <is>
          <t>No</t>
        </is>
      </c>
      <c r="O107" t="inlineStr">
        <is>
          <t>Sí</t>
        </is>
      </c>
      <c r="P107" s="10" t="inlineStr">
        <is>
          <t>Mixto y tierra</t>
        </is>
      </c>
      <c r="S107" t="inlineStr">
        <is>
          <t>No</t>
        </is>
      </c>
      <c r="T107" t="inlineStr">
        <is>
          <t>No</t>
        </is>
      </c>
      <c r="W107" t="inlineStr">
        <is>
          <t>Sí</t>
        </is>
      </c>
      <c r="Z107" t="n">
        <v>0</v>
      </c>
      <c r="AA107" t="inlineStr">
        <is>
          <t>Sí</t>
        </is>
      </c>
      <c r="AB107" s="7" t="inlineStr"/>
      <c r="AC107" s="7" t="inlineStr"/>
    </row>
    <row r="108">
      <c r="A108" t="n">
        <v>354117137</v>
      </c>
      <c r="B108" t="inlineStr">
        <is>
          <t>Team Marin 1</t>
        </is>
      </c>
      <c r="C108" s="8">
        <f>IF(LEN(D108)=0,"SÍ","NO")</f>
        <v/>
      </c>
      <c r="D108" s="7">
        <f>IF(F108="","tipo; ","")&amp;IF(G108="","propulsión; ","")&amp;IF(COUNTIF(H108:M108,"Sí")=0,"uso; ","")&amp;IF(OR(N108="",N108="Revisar"),"silla de niños; ","")&amp;IF(O108="","neumáticos; ","")&amp;IF(P108="","terreno; ","")&amp;IF(AND(G108&lt;&gt;"Pedal",Q108=""),"autonomía; ","")&amp;IF(AND(G108&lt;&gt;"Pedal",R108=""),"velocidad; ","")&amp;IF(OR(S108="",S108="Revisar"),"licencia; ","")&amp;IF(T108="","plegable; ","")&amp;IF(U108="","peso; ","")&amp;IF(AND(G108&lt;&gt;"Pedal",V108=""),"carga máx; ","")&amp;IF(AND(ISNUMBER(SEARCH("Bici",F108)),COUNTIF('Altura por modelo'!$A$2:$A$2000,A108)=0),"altura; ","")&amp;IF(COUNTIFS('Altura por modelo'!$A$2:$A$2000,A108,'Altura por modelo'!$E$2:$E$2000,"")+COUNTIFS('Altura por modelo'!$A$2:$A$2000,A108,'Altura por modelo'!$F$2:$F$2000,"")&gt;0,"altura por talle; ","")&amp;IF(AA108&lt;&gt;"Sí","desactivado; ","")</f>
        <v/>
      </c>
      <c r="E108" t="inlineStr">
        <is>
          <t>Bicicletas &gt; MTB</t>
        </is>
      </c>
      <c r="F108" t="inlineStr">
        <is>
          <t>Bici de montaña (MTB)</t>
        </is>
      </c>
      <c r="G108" t="inlineStr">
        <is>
          <t>Pedal</t>
        </is>
      </c>
      <c r="H108" s="10" t="inlineStr">
        <is>
          <t>No</t>
        </is>
      </c>
      <c r="I108" s="10" t="inlineStr">
        <is>
          <t>No</t>
        </is>
      </c>
      <c r="J108" s="10" t="inlineStr">
        <is>
          <t>Sí</t>
        </is>
      </c>
      <c r="K108" s="10" t="inlineStr">
        <is>
          <t>No</t>
        </is>
      </c>
      <c r="L108" s="10" t="inlineStr">
        <is>
          <t>No</t>
        </is>
      </c>
      <c r="M108" s="10" t="inlineStr">
        <is>
          <t>No</t>
        </is>
      </c>
      <c r="N108" t="inlineStr">
        <is>
          <t>No</t>
        </is>
      </c>
      <c r="O108" t="inlineStr">
        <is>
          <t>Sí</t>
        </is>
      </c>
      <c r="P108" s="10" t="inlineStr">
        <is>
          <t>Mixto y tierra</t>
        </is>
      </c>
      <c r="S108" t="inlineStr">
        <is>
          <t>No</t>
        </is>
      </c>
      <c r="T108" t="inlineStr">
        <is>
          <t>No</t>
        </is>
      </c>
      <c r="W108" t="inlineStr">
        <is>
          <t>Sí</t>
        </is>
      </c>
      <c r="Z108" t="n">
        <v>0</v>
      </c>
      <c r="AA108" t="inlineStr">
        <is>
          <t>Sí</t>
        </is>
      </c>
      <c r="AB108" s="7" t="inlineStr"/>
      <c r="AC108" s="7" t="inlineStr"/>
    </row>
    <row r="109">
      <c r="A109" t="n">
        <v>284309508</v>
      </c>
      <c r="B109" t="inlineStr">
        <is>
          <t>Alcatraz 1</t>
        </is>
      </c>
      <c r="C109" s="8">
        <f>IF(LEN(D109)=0,"SÍ","NO")</f>
        <v/>
      </c>
      <c r="D109" s="7">
        <f>IF(F109="","tipo; ","")&amp;IF(G109="","propulsión; ","")&amp;IF(COUNTIF(H109:M109,"Sí")=0,"uso; ","")&amp;IF(OR(N109="",N109="Revisar"),"silla de niños; ","")&amp;IF(O109="","neumáticos; ","")&amp;IF(P109="","terreno; ","")&amp;IF(AND(G109&lt;&gt;"Pedal",Q109=""),"autonomía; ","")&amp;IF(AND(G109&lt;&gt;"Pedal",R109=""),"velocidad; ","")&amp;IF(OR(S109="",S109="Revisar"),"licencia; ","")&amp;IF(T109="","plegable; ","")&amp;IF(U109="","peso; ","")&amp;IF(AND(G109&lt;&gt;"Pedal",V109=""),"carga máx; ","")&amp;IF(AND(ISNUMBER(SEARCH("Bici",F109)),COUNTIF('Altura por modelo'!$A$2:$A$2000,A109)=0),"altura; ","")&amp;IF(COUNTIFS('Altura por modelo'!$A$2:$A$2000,A109,'Altura por modelo'!$E$2:$E$2000,"")+COUNTIFS('Altura por modelo'!$A$2:$A$2000,A109,'Altura por modelo'!$F$2:$F$2000,"")&gt;0,"altura por talle; ","")&amp;IF(AA109&lt;&gt;"Sí","desactivado; ","")</f>
        <v/>
      </c>
      <c r="E109" t="inlineStr">
        <is>
          <t>Bicicletas &gt; Dirt/Stunt</t>
        </is>
      </c>
      <c r="F109" t="inlineStr">
        <is>
          <t>Bici dirt/stunt</t>
        </is>
      </c>
      <c r="G109" t="inlineStr">
        <is>
          <t>Pedal</t>
        </is>
      </c>
      <c r="H109" s="10" t="inlineStr">
        <is>
          <t>No</t>
        </is>
      </c>
      <c r="I109" s="10" t="inlineStr">
        <is>
          <t>No</t>
        </is>
      </c>
      <c r="J109" s="10" t="inlineStr">
        <is>
          <t>Sí</t>
        </is>
      </c>
      <c r="K109" s="10" t="inlineStr">
        <is>
          <t>No</t>
        </is>
      </c>
      <c r="L109" s="10" t="inlineStr">
        <is>
          <t>No</t>
        </is>
      </c>
      <c r="M109" s="10" t="inlineStr">
        <is>
          <t>No</t>
        </is>
      </c>
      <c r="N109" t="inlineStr">
        <is>
          <t>No</t>
        </is>
      </c>
      <c r="O109" t="inlineStr">
        <is>
          <t>Sí</t>
        </is>
      </c>
      <c r="P109" s="10" t="inlineStr">
        <is>
          <t>Todo terreno</t>
        </is>
      </c>
      <c r="S109" t="inlineStr">
        <is>
          <t>No</t>
        </is>
      </c>
      <c r="T109" t="inlineStr">
        <is>
          <t>No</t>
        </is>
      </c>
      <c r="W109" t="inlineStr">
        <is>
          <t>Sí</t>
        </is>
      </c>
      <c r="Z109" t="n">
        <v>0</v>
      </c>
      <c r="AA109" t="inlineStr">
        <is>
          <t>Sí</t>
        </is>
      </c>
      <c r="AB109" s="7" t="inlineStr"/>
      <c r="AC109" s="7" t="inlineStr"/>
    </row>
    <row r="110">
      <c r="A110" t="n">
        <v>354117074</v>
      </c>
      <c r="B110" t="inlineStr">
        <is>
          <t>Alcatraz 2</t>
        </is>
      </c>
      <c r="C110" s="8">
        <f>IF(LEN(D110)=0,"SÍ","NO")</f>
        <v/>
      </c>
      <c r="D110" s="7">
        <f>IF(F110="","tipo; ","")&amp;IF(G110="","propulsión; ","")&amp;IF(COUNTIF(H110:M110,"Sí")=0,"uso; ","")&amp;IF(OR(N110="",N110="Revisar"),"silla de niños; ","")&amp;IF(O110="","neumáticos; ","")&amp;IF(P110="","terreno; ","")&amp;IF(AND(G110&lt;&gt;"Pedal",Q110=""),"autonomía; ","")&amp;IF(AND(G110&lt;&gt;"Pedal",R110=""),"velocidad; ","")&amp;IF(OR(S110="",S110="Revisar"),"licencia; ","")&amp;IF(T110="","plegable; ","")&amp;IF(U110="","peso; ","")&amp;IF(AND(G110&lt;&gt;"Pedal",V110=""),"carga máx; ","")&amp;IF(AND(ISNUMBER(SEARCH("Bici",F110)),COUNTIF('Altura por modelo'!$A$2:$A$2000,A110)=0),"altura; ","")&amp;IF(COUNTIFS('Altura por modelo'!$A$2:$A$2000,A110,'Altura por modelo'!$E$2:$E$2000,"")+COUNTIFS('Altura por modelo'!$A$2:$A$2000,A110,'Altura por modelo'!$F$2:$F$2000,"")&gt;0,"altura por talle; ","")&amp;IF(AA110&lt;&gt;"Sí","desactivado; ","")</f>
        <v/>
      </c>
      <c r="E110" t="inlineStr">
        <is>
          <t>Bicicletas &gt; Dirt/Stunt</t>
        </is>
      </c>
      <c r="F110" t="inlineStr">
        <is>
          <t>Bici dirt/stunt</t>
        </is>
      </c>
      <c r="G110" t="inlineStr">
        <is>
          <t>Pedal</t>
        </is>
      </c>
      <c r="H110" s="10" t="inlineStr">
        <is>
          <t>No</t>
        </is>
      </c>
      <c r="I110" s="10" t="inlineStr">
        <is>
          <t>No</t>
        </is>
      </c>
      <c r="J110" s="10" t="inlineStr">
        <is>
          <t>Sí</t>
        </is>
      </c>
      <c r="K110" s="10" t="inlineStr">
        <is>
          <t>No</t>
        </is>
      </c>
      <c r="L110" s="10" t="inlineStr">
        <is>
          <t>No</t>
        </is>
      </c>
      <c r="M110" s="10" t="inlineStr">
        <is>
          <t>No</t>
        </is>
      </c>
      <c r="N110" t="inlineStr">
        <is>
          <t>No</t>
        </is>
      </c>
      <c r="O110" t="inlineStr">
        <is>
          <t>Sí</t>
        </is>
      </c>
      <c r="P110" s="10" t="inlineStr">
        <is>
          <t>Todo terreno</t>
        </is>
      </c>
      <c r="S110" t="inlineStr">
        <is>
          <t>No</t>
        </is>
      </c>
      <c r="T110" t="inlineStr">
        <is>
          <t>No</t>
        </is>
      </c>
      <c r="W110" t="inlineStr">
        <is>
          <t>Sí</t>
        </is>
      </c>
      <c r="Z110" t="n">
        <v>0</v>
      </c>
      <c r="AA110" t="inlineStr">
        <is>
          <t>Sí</t>
        </is>
      </c>
      <c r="AB110" s="7" t="inlineStr"/>
      <c r="AC110" s="7" t="inlineStr"/>
    </row>
    <row r="111">
      <c r="A111" t="n">
        <v>354117085</v>
      </c>
      <c r="B111" t="inlineStr">
        <is>
          <t>Alcatraz 24" (2026)</t>
        </is>
      </c>
      <c r="C111" s="8">
        <f>IF(LEN(D111)=0,"SÍ","NO")</f>
        <v/>
      </c>
      <c r="D111" s="7">
        <f>IF(F111="","tipo; ","")&amp;IF(G111="","propulsión; ","")&amp;IF(COUNTIF(H111:M111,"Sí")=0,"uso; ","")&amp;IF(OR(N111="",N111="Revisar"),"silla de niños; ","")&amp;IF(O111="","neumáticos; ","")&amp;IF(P111="","terreno; ","")&amp;IF(AND(G111&lt;&gt;"Pedal",Q111=""),"autonomía; ","")&amp;IF(AND(G111&lt;&gt;"Pedal",R111=""),"velocidad; ","")&amp;IF(OR(S111="",S111="Revisar"),"licencia; ","")&amp;IF(T111="","plegable; ","")&amp;IF(U111="","peso; ","")&amp;IF(AND(G111&lt;&gt;"Pedal",V111=""),"carga máx; ","")&amp;IF(AND(ISNUMBER(SEARCH("Bici",F111)),COUNTIF('Altura por modelo'!$A$2:$A$2000,A111)=0),"altura; ","")&amp;IF(COUNTIFS('Altura por modelo'!$A$2:$A$2000,A111,'Altura por modelo'!$E$2:$E$2000,"")+COUNTIFS('Altura por modelo'!$A$2:$A$2000,A111,'Altura por modelo'!$F$2:$F$2000,"")&gt;0,"altura por talle; ","")&amp;IF(AA111&lt;&gt;"Sí","desactivado; ","")</f>
        <v/>
      </c>
      <c r="E111" t="inlineStr">
        <is>
          <t>Bicicletas &gt; Dirt/Stunt</t>
        </is>
      </c>
      <c r="F111" t="inlineStr">
        <is>
          <t>Bici dirt/stunt</t>
        </is>
      </c>
      <c r="G111" t="inlineStr">
        <is>
          <t>Pedal</t>
        </is>
      </c>
      <c r="H111" s="10" t="inlineStr">
        <is>
          <t>No</t>
        </is>
      </c>
      <c r="I111" s="10" t="inlineStr">
        <is>
          <t>No</t>
        </is>
      </c>
      <c r="J111" s="10" t="inlineStr">
        <is>
          <t>Sí</t>
        </is>
      </c>
      <c r="K111" s="10" t="inlineStr">
        <is>
          <t>No</t>
        </is>
      </c>
      <c r="L111" s="10" t="inlineStr">
        <is>
          <t>No</t>
        </is>
      </c>
      <c r="M111" s="10" t="inlineStr">
        <is>
          <t>No</t>
        </is>
      </c>
      <c r="N111" t="inlineStr">
        <is>
          <t>No</t>
        </is>
      </c>
      <c r="O111" t="inlineStr">
        <is>
          <t>Sí</t>
        </is>
      </c>
      <c r="P111" s="10" t="inlineStr">
        <is>
          <t>Todo terreno</t>
        </is>
      </c>
      <c r="S111" t="inlineStr">
        <is>
          <t>No</t>
        </is>
      </c>
      <c r="T111" t="inlineStr">
        <is>
          <t>No</t>
        </is>
      </c>
      <c r="W111" t="inlineStr">
        <is>
          <t>Sí</t>
        </is>
      </c>
      <c r="Z111" t="n">
        <v>0</v>
      </c>
      <c r="AA111" t="inlineStr">
        <is>
          <t>Sí</t>
        </is>
      </c>
      <c r="AB111" s="7" t="inlineStr"/>
      <c r="AC111" s="7" t="inlineStr"/>
    </row>
    <row r="112">
      <c r="A112" t="n">
        <v>260342484</v>
      </c>
      <c r="B112" t="inlineStr">
        <is>
          <t>Power</t>
        </is>
      </c>
      <c r="C112" s="8">
        <f>IF(LEN(D112)=0,"SÍ","NO")</f>
        <v/>
      </c>
      <c r="D112" s="7">
        <f>IF(F112="","tipo; ","")&amp;IF(G112="","propulsión; ","")&amp;IF(COUNTIF(H112:M112,"Sí")=0,"uso; ","")&amp;IF(OR(N112="",N112="Revisar"),"silla de niños; ","")&amp;IF(O112="","neumáticos; ","")&amp;IF(P112="","terreno; ","")&amp;IF(AND(G112&lt;&gt;"Pedal",Q112=""),"autonomía; ","")&amp;IF(AND(G112&lt;&gt;"Pedal",R112=""),"velocidad; ","")&amp;IF(OR(S112="",S112="Revisar"),"licencia; ","")&amp;IF(T112="","plegable; ","")&amp;IF(U112="","peso; ","")&amp;IF(AND(G112&lt;&gt;"Pedal",V112=""),"carga máx; ","")&amp;IF(AND(ISNUMBER(SEARCH("Bici",F112)),COUNTIF('Altura por modelo'!$A$2:$A$2000,A112)=0),"altura; ","")&amp;IF(COUNTIFS('Altura por modelo'!$A$2:$A$2000,A112,'Altura por modelo'!$E$2:$E$2000,"")+COUNTIFS('Altura por modelo'!$A$2:$A$2000,A112,'Altura por modelo'!$F$2:$F$2000,"")&gt;0,"altura por talle; ","")&amp;IF(AA112&lt;&gt;"Sí","desactivado; ","")</f>
        <v/>
      </c>
      <c r="E112" t="inlineStr">
        <is>
          <t>Vehículos para niños</t>
        </is>
      </c>
      <c r="F112" t="inlineStr">
        <is>
          <t>Bici infantil/juvenil</t>
        </is>
      </c>
      <c r="G112" t="inlineStr">
        <is>
          <t>Pedal</t>
        </is>
      </c>
      <c r="H112" s="10" t="inlineStr">
        <is>
          <t>No</t>
        </is>
      </c>
      <c r="I112" s="10" t="inlineStr">
        <is>
          <t>No</t>
        </is>
      </c>
      <c r="J112" s="10" t="inlineStr">
        <is>
          <t>No</t>
        </is>
      </c>
      <c r="K112" s="10" t="inlineStr">
        <is>
          <t>No</t>
        </is>
      </c>
      <c r="L112" s="10" t="inlineStr">
        <is>
          <t>No</t>
        </is>
      </c>
      <c r="M112" s="10" t="inlineStr">
        <is>
          <t>Sí</t>
        </is>
      </c>
      <c r="N112" t="inlineStr">
        <is>
          <t>No</t>
        </is>
      </c>
      <c r="O112" t="inlineStr">
        <is>
          <t>Sí</t>
        </is>
      </c>
      <c r="P112" t="inlineStr">
        <is>
          <t>Asfalto y mixto</t>
        </is>
      </c>
      <c r="S112" t="inlineStr">
        <is>
          <t>No</t>
        </is>
      </c>
      <c r="T112" t="inlineStr">
        <is>
          <t>No</t>
        </is>
      </c>
      <c r="W112" t="inlineStr">
        <is>
          <t>No</t>
        </is>
      </c>
      <c r="Z112" t="n">
        <v>0</v>
      </c>
      <c r="AA112" t="inlineStr">
        <is>
          <t>Sí</t>
        </is>
      </c>
      <c r="AB112" s="7" t="inlineStr"/>
      <c r="AC112" s="7" t="inlineStr">
        <is>
          <t>Completar rodado / rango de altura.</t>
        </is>
      </c>
    </row>
    <row r="113">
      <c r="A113" t="n">
        <v>260342490</v>
      </c>
      <c r="B113" t="inlineStr">
        <is>
          <t>Jumper</t>
        </is>
      </c>
      <c r="C113" s="8">
        <f>IF(LEN(D113)=0,"SÍ","NO")</f>
        <v/>
      </c>
      <c r="D113" s="7">
        <f>IF(F113="","tipo; ","")&amp;IF(G113="","propulsión; ","")&amp;IF(COUNTIF(H113:M113,"Sí")=0,"uso; ","")&amp;IF(OR(N113="",N113="Revisar"),"silla de niños; ","")&amp;IF(O113="","neumáticos; ","")&amp;IF(P113="","terreno; ","")&amp;IF(AND(G113&lt;&gt;"Pedal",Q113=""),"autonomía; ","")&amp;IF(AND(G113&lt;&gt;"Pedal",R113=""),"velocidad; ","")&amp;IF(OR(S113="",S113="Revisar"),"licencia; ","")&amp;IF(T113="","plegable; ","")&amp;IF(U113="","peso; ","")&amp;IF(AND(G113&lt;&gt;"Pedal",V113=""),"carga máx; ","")&amp;IF(AND(ISNUMBER(SEARCH("Bici",F113)),COUNTIF('Altura por modelo'!$A$2:$A$2000,A113)=0),"altura; ","")&amp;IF(COUNTIFS('Altura por modelo'!$A$2:$A$2000,A113,'Altura por modelo'!$E$2:$E$2000,"")+COUNTIFS('Altura por modelo'!$A$2:$A$2000,A113,'Altura por modelo'!$F$2:$F$2000,"")&gt;0,"altura por talle; ","")&amp;IF(AA113&lt;&gt;"Sí","desactivado; ","")</f>
        <v/>
      </c>
      <c r="E113" t="inlineStr">
        <is>
          <t>Vehículos para niños</t>
        </is>
      </c>
      <c r="F113" t="inlineStr">
        <is>
          <t>Bici infantil/juvenil</t>
        </is>
      </c>
      <c r="G113" t="inlineStr">
        <is>
          <t>Pedal</t>
        </is>
      </c>
      <c r="H113" s="10" t="inlineStr">
        <is>
          <t>No</t>
        </is>
      </c>
      <c r="I113" s="10" t="inlineStr">
        <is>
          <t>No</t>
        </is>
      </c>
      <c r="J113" s="10" t="inlineStr">
        <is>
          <t>No</t>
        </is>
      </c>
      <c r="K113" s="10" t="inlineStr">
        <is>
          <t>No</t>
        </is>
      </c>
      <c r="L113" s="10" t="inlineStr">
        <is>
          <t>No</t>
        </is>
      </c>
      <c r="M113" s="10" t="inlineStr">
        <is>
          <t>Sí</t>
        </is>
      </c>
      <c r="N113" t="inlineStr">
        <is>
          <t>No</t>
        </is>
      </c>
      <c r="O113" t="inlineStr">
        <is>
          <t>Sí</t>
        </is>
      </c>
      <c r="P113" t="inlineStr">
        <is>
          <t>Asfalto y mixto</t>
        </is>
      </c>
      <c r="S113" t="inlineStr">
        <is>
          <t>No</t>
        </is>
      </c>
      <c r="T113" t="inlineStr">
        <is>
          <t>No</t>
        </is>
      </c>
      <c r="W113" t="inlineStr">
        <is>
          <t>No</t>
        </is>
      </c>
      <c r="Z113" t="n">
        <v>0</v>
      </c>
      <c r="AA113" t="inlineStr">
        <is>
          <t>Sí</t>
        </is>
      </c>
      <c r="AB113" s="7" t="inlineStr"/>
      <c r="AC113" s="7" t="inlineStr">
        <is>
          <t>Completar rodado / rango de altura.</t>
        </is>
      </c>
    </row>
    <row r="114">
      <c r="A114" t="n">
        <v>304920554</v>
      </c>
      <c r="B114" t="inlineStr">
        <is>
          <t>Bayview Trail 24"</t>
        </is>
      </c>
      <c r="C114" s="8">
        <f>IF(LEN(D114)=0,"SÍ","NO")</f>
        <v/>
      </c>
      <c r="D114" s="7">
        <f>IF(F114="","tipo; ","")&amp;IF(G114="","propulsión; ","")&amp;IF(COUNTIF(H114:M114,"Sí")=0,"uso; ","")&amp;IF(OR(N114="",N114="Revisar"),"silla de niños; ","")&amp;IF(O114="","neumáticos; ","")&amp;IF(P114="","terreno; ","")&amp;IF(AND(G114&lt;&gt;"Pedal",Q114=""),"autonomía; ","")&amp;IF(AND(G114&lt;&gt;"Pedal",R114=""),"velocidad; ","")&amp;IF(OR(S114="",S114="Revisar"),"licencia; ","")&amp;IF(T114="","plegable; ","")&amp;IF(U114="","peso; ","")&amp;IF(AND(G114&lt;&gt;"Pedal",V114=""),"carga máx; ","")&amp;IF(AND(ISNUMBER(SEARCH("Bici",F114)),COUNTIF('Altura por modelo'!$A$2:$A$2000,A114)=0),"altura; ","")&amp;IF(COUNTIFS('Altura por modelo'!$A$2:$A$2000,A114,'Altura por modelo'!$E$2:$E$2000,"")+COUNTIFS('Altura por modelo'!$A$2:$A$2000,A114,'Altura por modelo'!$F$2:$F$2000,"")&gt;0,"altura por talle; ","")&amp;IF(AA114&lt;&gt;"Sí","desactivado; ","")</f>
        <v/>
      </c>
      <c r="E114" t="inlineStr">
        <is>
          <t>Vehículos para niños</t>
        </is>
      </c>
      <c r="F114" t="inlineStr">
        <is>
          <t>Bici infantil/juvenil</t>
        </is>
      </c>
      <c r="G114" t="inlineStr">
        <is>
          <t>Pedal</t>
        </is>
      </c>
      <c r="H114" s="10" t="inlineStr">
        <is>
          <t>No</t>
        </is>
      </c>
      <c r="I114" s="10" t="inlineStr">
        <is>
          <t>No</t>
        </is>
      </c>
      <c r="J114" s="10" t="inlineStr">
        <is>
          <t>No</t>
        </is>
      </c>
      <c r="K114" s="10" t="inlineStr">
        <is>
          <t>No</t>
        </is>
      </c>
      <c r="L114" s="10" t="inlineStr">
        <is>
          <t>No</t>
        </is>
      </c>
      <c r="M114" s="10" t="inlineStr">
        <is>
          <t>Sí</t>
        </is>
      </c>
      <c r="N114" t="inlineStr">
        <is>
          <t>No</t>
        </is>
      </c>
      <c r="O114" t="inlineStr">
        <is>
          <t>Sí</t>
        </is>
      </c>
      <c r="P114" t="inlineStr">
        <is>
          <t>Asfalto y mixto</t>
        </is>
      </c>
      <c r="S114" t="inlineStr">
        <is>
          <t>No</t>
        </is>
      </c>
      <c r="T114" t="inlineStr">
        <is>
          <t>No</t>
        </is>
      </c>
      <c r="W114" t="inlineStr">
        <is>
          <t>No</t>
        </is>
      </c>
      <c r="Z114" t="n">
        <v>0</v>
      </c>
      <c r="AA114" t="inlineStr">
        <is>
          <t>Sí</t>
        </is>
      </c>
      <c r="AB114" s="7" t="inlineStr"/>
      <c r="AC114" s="7" t="inlineStr"/>
    </row>
    <row r="115">
      <c r="A115" t="n">
        <v>305009753</v>
      </c>
      <c r="B115" t="inlineStr">
        <is>
          <t>Bayview Trail 20"</t>
        </is>
      </c>
      <c r="C115" s="8">
        <f>IF(LEN(D115)=0,"SÍ","NO")</f>
        <v/>
      </c>
      <c r="D115" s="7">
        <f>IF(F115="","tipo; ","")&amp;IF(G115="","propulsión; ","")&amp;IF(COUNTIF(H115:M115,"Sí")=0,"uso; ","")&amp;IF(OR(N115="",N115="Revisar"),"silla de niños; ","")&amp;IF(O115="","neumáticos; ","")&amp;IF(P115="","terreno; ","")&amp;IF(AND(G115&lt;&gt;"Pedal",Q115=""),"autonomía; ","")&amp;IF(AND(G115&lt;&gt;"Pedal",R115=""),"velocidad; ","")&amp;IF(OR(S115="",S115="Revisar"),"licencia; ","")&amp;IF(T115="","plegable; ","")&amp;IF(U115="","peso; ","")&amp;IF(AND(G115&lt;&gt;"Pedal",V115=""),"carga máx; ","")&amp;IF(AND(ISNUMBER(SEARCH("Bici",F115)),COUNTIF('Altura por modelo'!$A$2:$A$2000,A115)=0),"altura; ","")&amp;IF(COUNTIFS('Altura por modelo'!$A$2:$A$2000,A115,'Altura por modelo'!$E$2:$E$2000,"")+COUNTIFS('Altura por modelo'!$A$2:$A$2000,A115,'Altura por modelo'!$F$2:$F$2000,"")&gt;0,"altura por talle; ","")&amp;IF(AA115&lt;&gt;"Sí","desactivado; ","")</f>
        <v/>
      </c>
      <c r="E115" t="inlineStr">
        <is>
          <t>Vehículos para niños</t>
        </is>
      </c>
      <c r="F115" t="inlineStr">
        <is>
          <t>Bici infantil/juvenil</t>
        </is>
      </c>
      <c r="G115" t="inlineStr">
        <is>
          <t>Pedal</t>
        </is>
      </c>
      <c r="H115" s="10" t="inlineStr">
        <is>
          <t>No</t>
        </is>
      </c>
      <c r="I115" s="10" t="inlineStr">
        <is>
          <t>No</t>
        </is>
      </c>
      <c r="J115" s="10" t="inlineStr">
        <is>
          <t>No</t>
        </is>
      </c>
      <c r="K115" s="10" t="inlineStr">
        <is>
          <t>No</t>
        </is>
      </c>
      <c r="L115" s="10" t="inlineStr">
        <is>
          <t>No</t>
        </is>
      </c>
      <c r="M115" s="10" t="inlineStr">
        <is>
          <t>Sí</t>
        </is>
      </c>
      <c r="N115" t="inlineStr">
        <is>
          <t>No</t>
        </is>
      </c>
      <c r="O115" t="inlineStr">
        <is>
          <t>Sí</t>
        </is>
      </c>
      <c r="P115" t="inlineStr">
        <is>
          <t>Asfalto y mixto</t>
        </is>
      </c>
      <c r="S115" t="inlineStr">
        <is>
          <t>No</t>
        </is>
      </c>
      <c r="T115" t="inlineStr">
        <is>
          <t>No</t>
        </is>
      </c>
      <c r="W115" t="inlineStr">
        <is>
          <t>No</t>
        </is>
      </c>
      <c r="Z115" t="n">
        <v>0</v>
      </c>
      <c r="AA115" t="inlineStr">
        <is>
          <t>Sí</t>
        </is>
      </c>
      <c r="AB115" s="7" t="inlineStr"/>
      <c r="AC115" s="7" t="inlineStr"/>
    </row>
    <row r="116">
      <c r="A116" t="n">
        <v>349261711</v>
      </c>
      <c r="B116" t="inlineStr">
        <is>
          <t>Bubble 14 Race</t>
        </is>
      </c>
      <c r="C116" s="8">
        <f>IF(LEN(D116)=0,"SÍ","NO")</f>
        <v/>
      </c>
      <c r="D116" s="7">
        <f>IF(F116="","tipo; ","")&amp;IF(G116="","propulsión; ","")&amp;IF(COUNTIF(H116:M116,"Sí")=0,"uso; ","")&amp;IF(OR(N116="",N116="Revisar"),"silla de niños; ","")&amp;IF(O116="","neumáticos; ","")&amp;IF(P116="","terreno; ","")&amp;IF(AND(G116&lt;&gt;"Pedal",Q116=""),"autonomía; ","")&amp;IF(AND(G116&lt;&gt;"Pedal",R116=""),"velocidad; ","")&amp;IF(OR(S116="",S116="Revisar"),"licencia; ","")&amp;IF(T116="","plegable; ","")&amp;IF(U116="","peso; ","")&amp;IF(AND(G116&lt;&gt;"Pedal",V116=""),"carga máx; ","")&amp;IF(AND(ISNUMBER(SEARCH("Bici",F116)),COUNTIF('Altura por modelo'!$A$2:$A$2000,A116)=0),"altura; ","")&amp;IF(COUNTIFS('Altura por modelo'!$A$2:$A$2000,A116,'Altura por modelo'!$E$2:$E$2000,"")+COUNTIFS('Altura por modelo'!$A$2:$A$2000,A116,'Altura por modelo'!$F$2:$F$2000,"")&gt;0,"altura por talle; ","")&amp;IF(AA116&lt;&gt;"Sí","desactivado; ","")</f>
        <v/>
      </c>
      <c r="E116" t="inlineStr">
        <is>
          <t>Vehículos para niños</t>
        </is>
      </c>
      <c r="F116" t="inlineStr">
        <is>
          <t>Bici infantil/juvenil</t>
        </is>
      </c>
      <c r="G116" t="inlineStr">
        <is>
          <t>Pedal</t>
        </is>
      </c>
      <c r="H116" s="10" t="inlineStr">
        <is>
          <t>No</t>
        </is>
      </c>
      <c r="I116" s="10" t="inlineStr">
        <is>
          <t>No</t>
        </is>
      </c>
      <c r="J116" s="10" t="inlineStr">
        <is>
          <t>No</t>
        </is>
      </c>
      <c r="K116" s="10" t="inlineStr">
        <is>
          <t>No</t>
        </is>
      </c>
      <c r="L116" s="10" t="inlineStr">
        <is>
          <t>No</t>
        </is>
      </c>
      <c r="M116" s="10" t="inlineStr">
        <is>
          <t>Sí</t>
        </is>
      </c>
      <c r="N116" t="inlineStr">
        <is>
          <t>No</t>
        </is>
      </c>
      <c r="O116" t="inlineStr">
        <is>
          <t>Sí</t>
        </is>
      </c>
      <c r="P116" t="inlineStr">
        <is>
          <t>Asfalto y mixto</t>
        </is>
      </c>
      <c r="S116" t="inlineStr">
        <is>
          <t>No</t>
        </is>
      </c>
      <c r="T116" t="inlineStr">
        <is>
          <t>No</t>
        </is>
      </c>
      <c r="W116" t="inlineStr">
        <is>
          <t>No</t>
        </is>
      </c>
      <c r="Z116" t="n">
        <v>0</v>
      </c>
      <c r="AA116" t="inlineStr">
        <is>
          <t>Sí</t>
        </is>
      </c>
      <c r="AB116" s="7" t="inlineStr"/>
      <c r="AC116" s="7" t="inlineStr"/>
    </row>
    <row r="117">
      <c r="A117" t="n">
        <v>349261714</v>
      </c>
      <c r="B117" t="inlineStr">
        <is>
          <t>Bubble 16 Race</t>
        </is>
      </c>
      <c r="C117" s="8">
        <f>IF(LEN(D117)=0,"SÍ","NO")</f>
        <v/>
      </c>
      <c r="D117" s="7">
        <f>IF(F117="","tipo; ","")&amp;IF(G117="","propulsión; ","")&amp;IF(COUNTIF(H117:M117,"Sí")=0,"uso; ","")&amp;IF(OR(N117="",N117="Revisar"),"silla de niños; ","")&amp;IF(O117="","neumáticos; ","")&amp;IF(P117="","terreno; ","")&amp;IF(AND(G117&lt;&gt;"Pedal",Q117=""),"autonomía; ","")&amp;IF(AND(G117&lt;&gt;"Pedal",R117=""),"velocidad; ","")&amp;IF(OR(S117="",S117="Revisar"),"licencia; ","")&amp;IF(T117="","plegable; ","")&amp;IF(U117="","peso; ","")&amp;IF(AND(G117&lt;&gt;"Pedal",V117=""),"carga máx; ","")&amp;IF(AND(ISNUMBER(SEARCH("Bici",F117)),COUNTIF('Altura por modelo'!$A$2:$A$2000,A117)=0),"altura; ","")&amp;IF(COUNTIFS('Altura por modelo'!$A$2:$A$2000,A117,'Altura por modelo'!$E$2:$E$2000,"")+COUNTIFS('Altura por modelo'!$A$2:$A$2000,A117,'Altura por modelo'!$F$2:$F$2000,"")&gt;0,"altura por talle; ","")&amp;IF(AA117&lt;&gt;"Sí","desactivado; ","")</f>
        <v/>
      </c>
      <c r="E117" t="inlineStr">
        <is>
          <t>Vehículos para niños</t>
        </is>
      </c>
      <c r="F117" t="inlineStr">
        <is>
          <t>Bici infantil/juvenil</t>
        </is>
      </c>
      <c r="G117" t="inlineStr">
        <is>
          <t>Pedal</t>
        </is>
      </c>
      <c r="H117" s="10" t="inlineStr">
        <is>
          <t>No</t>
        </is>
      </c>
      <c r="I117" s="10" t="inlineStr">
        <is>
          <t>No</t>
        </is>
      </c>
      <c r="J117" s="10" t="inlineStr">
        <is>
          <t>No</t>
        </is>
      </c>
      <c r="K117" s="10" t="inlineStr">
        <is>
          <t>No</t>
        </is>
      </c>
      <c r="L117" s="10" t="inlineStr">
        <is>
          <t>No</t>
        </is>
      </c>
      <c r="M117" s="10" t="inlineStr">
        <is>
          <t>Sí</t>
        </is>
      </c>
      <c r="N117" t="inlineStr">
        <is>
          <t>No</t>
        </is>
      </c>
      <c r="O117" t="inlineStr">
        <is>
          <t>Sí</t>
        </is>
      </c>
      <c r="P117" t="inlineStr">
        <is>
          <t>Asfalto y mixto</t>
        </is>
      </c>
      <c r="S117" t="inlineStr">
        <is>
          <t>No</t>
        </is>
      </c>
      <c r="T117" t="inlineStr">
        <is>
          <t>No</t>
        </is>
      </c>
      <c r="W117" t="inlineStr">
        <is>
          <t>No</t>
        </is>
      </c>
      <c r="Z117" t="n">
        <v>0</v>
      </c>
      <c r="AA117" t="inlineStr">
        <is>
          <t>Sí</t>
        </is>
      </c>
      <c r="AB117" s="7" t="inlineStr"/>
      <c r="AC117" s="7" t="inlineStr"/>
    </row>
    <row r="118">
      <c r="A118" t="n">
        <v>349261718</v>
      </c>
      <c r="B118" t="inlineStr">
        <is>
          <t>Bubble 27,5 Race</t>
        </is>
      </c>
      <c r="C118" s="8">
        <f>IF(LEN(D118)=0,"SÍ","NO")</f>
        <v/>
      </c>
      <c r="D118" s="7">
        <f>IF(F118="","tipo; ","")&amp;IF(G118="","propulsión; ","")&amp;IF(COUNTIF(H118:M118,"Sí")=0,"uso; ","")&amp;IF(OR(N118="",N118="Revisar"),"silla de niños; ","")&amp;IF(O118="","neumáticos; ","")&amp;IF(P118="","terreno; ","")&amp;IF(AND(G118&lt;&gt;"Pedal",Q118=""),"autonomía; ","")&amp;IF(AND(G118&lt;&gt;"Pedal",R118=""),"velocidad; ","")&amp;IF(OR(S118="",S118="Revisar"),"licencia; ","")&amp;IF(T118="","plegable; ","")&amp;IF(U118="","peso; ","")&amp;IF(AND(G118&lt;&gt;"Pedal",V118=""),"carga máx; ","")&amp;IF(AND(ISNUMBER(SEARCH("Bici",F118)),COUNTIF('Altura por modelo'!$A$2:$A$2000,A118)=0),"altura; ","")&amp;IF(COUNTIFS('Altura por modelo'!$A$2:$A$2000,A118,'Altura por modelo'!$E$2:$E$2000,"")+COUNTIFS('Altura por modelo'!$A$2:$A$2000,A118,'Altura por modelo'!$F$2:$F$2000,"")&gt;0,"altura por talle; ","")&amp;IF(AA118&lt;&gt;"Sí","desactivado; ","")</f>
        <v/>
      </c>
      <c r="E118" t="inlineStr">
        <is>
          <t>Vehículos para niños</t>
        </is>
      </c>
      <c r="F118" t="inlineStr">
        <is>
          <t>Bici infantil/juvenil</t>
        </is>
      </c>
      <c r="G118" t="inlineStr">
        <is>
          <t>Pedal</t>
        </is>
      </c>
      <c r="H118" s="10" t="inlineStr">
        <is>
          <t>No</t>
        </is>
      </c>
      <c r="I118" s="10" t="inlineStr">
        <is>
          <t>No</t>
        </is>
      </c>
      <c r="J118" s="10" t="inlineStr">
        <is>
          <t>No</t>
        </is>
      </c>
      <c r="K118" s="10" t="inlineStr">
        <is>
          <t>No</t>
        </is>
      </c>
      <c r="L118" s="10" t="inlineStr">
        <is>
          <t>No</t>
        </is>
      </c>
      <c r="M118" s="10" t="inlineStr">
        <is>
          <t>Sí</t>
        </is>
      </c>
      <c r="N118" t="inlineStr">
        <is>
          <t>No</t>
        </is>
      </c>
      <c r="O118" t="inlineStr">
        <is>
          <t>Sí</t>
        </is>
      </c>
      <c r="P118" t="inlineStr">
        <is>
          <t>Asfalto y mixto</t>
        </is>
      </c>
      <c r="S118" t="inlineStr">
        <is>
          <t>No</t>
        </is>
      </c>
      <c r="T118" t="inlineStr">
        <is>
          <t>No</t>
        </is>
      </c>
      <c r="W118" t="inlineStr">
        <is>
          <t>No</t>
        </is>
      </c>
      <c r="Z118" t="n">
        <v>0</v>
      </c>
      <c r="AA118" t="inlineStr">
        <is>
          <t>Sí</t>
        </is>
      </c>
      <c r="AB118" s="7" t="inlineStr"/>
      <c r="AC118" s="7" t="inlineStr"/>
    </row>
    <row r="119">
      <c r="A119" t="n">
        <v>349261720</v>
      </c>
      <c r="B119" t="inlineStr">
        <is>
          <t>Chloe 27.5 Race</t>
        </is>
      </c>
      <c r="C119" s="8">
        <f>IF(LEN(D119)=0,"SÍ","NO")</f>
        <v/>
      </c>
      <c r="D119" s="7">
        <f>IF(F119="","tipo; ","")&amp;IF(G119="","propulsión; ","")&amp;IF(COUNTIF(H119:M119,"Sí")=0,"uso; ","")&amp;IF(OR(N119="",N119="Revisar"),"silla de niños; ","")&amp;IF(O119="","neumáticos; ","")&amp;IF(P119="","terreno; ","")&amp;IF(AND(G119&lt;&gt;"Pedal",Q119=""),"autonomía; ","")&amp;IF(AND(G119&lt;&gt;"Pedal",R119=""),"velocidad; ","")&amp;IF(OR(S119="",S119="Revisar"),"licencia; ","")&amp;IF(T119="","plegable; ","")&amp;IF(U119="","peso; ","")&amp;IF(AND(G119&lt;&gt;"Pedal",V119=""),"carga máx; ","")&amp;IF(AND(ISNUMBER(SEARCH("Bici",F119)),COUNTIF('Altura por modelo'!$A$2:$A$2000,A119)=0),"altura; ","")&amp;IF(COUNTIFS('Altura por modelo'!$A$2:$A$2000,A119,'Altura por modelo'!$E$2:$E$2000,"")+COUNTIFS('Altura por modelo'!$A$2:$A$2000,A119,'Altura por modelo'!$F$2:$F$2000,"")&gt;0,"altura por talle; ","")&amp;IF(AA119&lt;&gt;"Sí","desactivado; ","")</f>
        <v/>
      </c>
      <c r="E119" t="inlineStr">
        <is>
          <t>Vehículos para niños</t>
        </is>
      </c>
      <c r="F119" t="inlineStr">
        <is>
          <t>Bici infantil/juvenil</t>
        </is>
      </c>
      <c r="G119" t="inlineStr">
        <is>
          <t>Pedal</t>
        </is>
      </c>
      <c r="H119" s="10" t="inlineStr">
        <is>
          <t>No</t>
        </is>
      </c>
      <c r="I119" s="10" t="inlineStr">
        <is>
          <t>No</t>
        </is>
      </c>
      <c r="J119" s="10" t="inlineStr">
        <is>
          <t>No</t>
        </is>
      </c>
      <c r="K119" s="10" t="inlineStr">
        <is>
          <t>No</t>
        </is>
      </c>
      <c r="L119" s="10" t="inlineStr">
        <is>
          <t>No</t>
        </is>
      </c>
      <c r="M119" s="10" t="inlineStr">
        <is>
          <t>Sí</t>
        </is>
      </c>
      <c r="N119" t="inlineStr">
        <is>
          <t>No</t>
        </is>
      </c>
      <c r="O119" t="inlineStr">
        <is>
          <t>Sí</t>
        </is>
      </c>
      <c r="P119" t="inlineStr">
        <is>
          <t>Asfalto y mixto</t>
        </is>
      </c>
      <c r="S119" t="inlineStr">
        <is>
          <t>No</t>
        </is>
      </c>
      <c r="T119" t="inlineStr">
        <is>
          <t>No</t>
        </is>
      </c>
      <c r="W119" t="inlineStr">
        <is>
          <t>No</t>
        </is>
      </c>
      <c r="Z119" t="n">
        <v>0</v>
      </c>
      <c r="AA119" t="inlineStr">
        <is>
          <t>Sí</t>
        </is>
      </c>
      <c r="AB119" s="7" t="inlineStr"/>
      <c r="AC119" s="7" t="inlineStr"/>
    </row>
    <row r="120">
      <c r="A120" t="n">
        <v>349261721</v>
      </c>
      <c r="B120" t="inlineStr">
        <is>
          <t>Bubble 24 Race</t>
        </is>
      </c>
      <c r="C120" s="8">
        <f>IF(LEN(D120)=0,"SÍ","NO")</f>
        <v/>
      </c>
      <c r="D120" s="7">
        <f>IF(F120="","tipo; ","")&amp;IF(G120="","propulsión; ","")&amp;IF(COUNTIF(H120:M120,"Sí")=0,"uso; ","")&amp;IF(OR(N120="",N120="Revisar"),"silla de niños; ","")&amp;IF(O120="","neumáticos; ","")&amp;IF(P120="","terreno; ","")&amp;IF(AND(G120&lt;&gt;"Pedal",Q120=""),"autonomía; ","")&amp;IF(AND(G120&lt;&gt;"Pedal",R120=""),"velocidad; ","")&amp;IF(OR(S120="",S120="Revisar"),"licencia; ","")&amp;IF(T120="","plegable; ","")&amp;IF(U120="","peso; ","")&amp;IF(AND(G120&lt;&gt;"Pedal",V120=""),"carga máx; ","")&amp;IF(AND(ISNUMBER(SEARCH("Bici",F120)),COUNTIF('Altura por modelo'!$A$2:$A$2000,A120)=0),"altura; ","")&amp;IF(COUNTIFS('Altura por modelo'!$A$2:$A$2000,A120,'Altura por modelo'!$E$2:$E$2000,"")+COUNTIFS('Altura por modelo'!$A$2:$A$2000,A120,'Altura por modelo'!$F$2:$F$2000,"")&gt;0,"altura por talle; ","")&amp;IF(AA120&lt;&gt;"Sí","desactivado; ","")</f>
        <v/>
      </c>
      <c r="E120" t="inlineStr">
        <is>
          <t>Vehículos para niños</t>
        </is>
      </c>
      <c r="F120" t="inlineStr">
        <is>
          <t>Bici infantil/juvenil</t>
        </is>
      </c>
      <c r="G120" t="inlineStr">
        <is>
          <t>Pedal</t>
        </is>
      </c>
      <c r="H120" s="10" t="inlineStr">
        <is>
          <t>No</t>
        </is>
      </c>
      <c r="I120" s="10" t="inlineStr">
        <is>
          <t>No</t>
        </is>
      </c>
      <c r="J120" s="10" t="inlineStr">
        <is>
          <t>No</t>
        </is>
      </c>
      <c r="K120" s="10" t="inlineStr">
        <is>
          <t>No</t>
        </is>
      </c>
      <c r="L120" s="10" t="inlineStr">
        <is>
          <t>No</t>
        </is>
      </c>
      <c r="M120" s="10" t="inlineStr">
        <is>
          <t>Sí</t>
        </is>
      </c>
      <c r="N120" t="inlineStr">
        <is>
          <t>No</t>
        </is>
      </c>
      <c r="O120" t="inlineStr">
        <is>
          <t>Sí</t>
        </is>
      </c>
      <c r="P120" t="inlineStr">
        <is>
          <t>Asfalto y mixto</t>
        </is>
      </c>
      <c r="S120" t="inlineStr">
        <is>
          <t>No</t>
        </is>
      </c>
      <c r="T120" t="inlineStr">
        <is>
          <t>No</t>
        </is>
      </c>
      <c r="W120" t="inlineStr">
        <is>
          <t>No</t>
        </is>
      </c>
      <c r="Z120" t="n">
        <v>0</v>
      </c>
      <c r="AA120" t="inlineStr">
        <is>
          <t>Sí</t>
        </is>
      </c>
      <c r="AB120" s="7" t="inlineStr"/>
      <c r="AC120" s="7" t="inlineStr"/>
    </row>
    <row r="121">
      <c r="A121" t="n">
        <v>349261724</v>
      </c>
      <c r="B121" t="inlineStr">
        <is>
          <t>Bubble 26 Race</t>
        </is>
      </c>
      <c r="C121" s="8">
        <f>IF(LEN(D121)=0,"SÍ","NO")</f>
        <v/>
      </c>
      <c r="D121" s="7">
        <f>IF(F121="","tipo; ","")&amp;IF(G121="","propulsión; ","")&amp;IF(COUNTIF(H121:M121,"Sí")=0,"uso; ","")&amp;IF(OR(N121="",N121="Revisar"),"silla de niños; ","")&amp;IF(O121="","neumáticos; ","")&amp;IF(P121="","terreno; ","")&amp;IF(AND(G121&lt;&gt;"Pedal",Q121=""),"autonomía; ","")&amp;IF(AND(G121&lt;&gt;"Pedal",R121=""),"velocidad; ","")&amp;IF(OR(S121="",S121="Revisar"),"licencia; ","")&amp;IF(T121="","plegable; ","")&amp;IF(U121="","peso; ","")&amp;IF(AND(G121&lt;&gt;"Pedal",V121=""),"carga máx; ","")&amp;IF(AND(ISNUMBER(SEARCH("Bici",F121)),COUNTIF('Altura por modelo'!$A$2:$A$2000,A121)=0),"altura; ","")&amp;IF(COUNTIFS('Altura por modelo'!$A$2:$A$2000,A121,'Altura por modelo'!$E$2:$E$2000,"")+COUNTIFS('Altura por modelo'!$A$2:$A$2000,A121,'Altura por modelo'!$F$2:$F$2000,"")&gt;0,"altura por talle; ","")&amp;IF(AA121&lt;&gt;"Sí","desactivado; ","")</f>
        <v/>
      </c>
      <c r="E121" t="inlineStr">
        <is>
          <t>Vehículos para niños</t>
        </is>
      </c>
      <c r="F121" t="inlineStr">
        <is>
          <t>Bici infantil/juvenil</t>
        </is>
      </c>
      <c r="G121" t="inlineStr">
        <is>
          <t>Pedal</t>
        </is>
      </c>
      <c r="H121" s="10" t="inlineStr">
        <is>
          <t>No</t>
        </is>
      </c>
      <c r="I121" s="10" t="inlineStr">
        <is>
          <t>No</t>
        </is>
      </c>
      <c r="J121" s="10" t="inlineStr">
        <is>
          <t>No</t>
        </is>
      </c>
      <c r="K121" s="10" t="inlineStr">
        <is>
          <t>No</t>
        </is>
      </c>
      <c r="L121" s="10" t="inlineStr">
        <is>
          <t>No</t>
        </is>
      </c>
      <c r="M121" s="10" t="inlineStr">
        <is>
          <t>Sí</t>
        </is>
      </c>
      <c r="N121" t="inlineStr">
        <is>
          <t>No</t>
        </is>
      </c>
      <c r="O121" t="inlineStr">
        <is>
          <t>Sí</t>
        </is>
      </c>
      <c r="P121" t="inlineStr">
        <is>
          <t>Asfalto y mixto</t>
        </is>
      </c>
      <c r="S121" t="inlineStr">
        <is>
          <t>No</t>
        </is>
      </c>
      <c r="T121" t="inlineStr">
        <is>
          <t>No</t>
        </is>
      </c>
      <c r="W121" t="inlineStr">
        <is>
          <t>No</t>
        </is>
      </c>
      <c r="Z121" t="n">
        <v>0</v>
      </c>
      <c r="AA121" t="inlineStr">
        <is>
          <t>Sí</t>
        </is>
      </c>
      <c r="AB121" s="7" t="inlineStr"/>
      <c r="AC121" s="7" t="inlineStr"/>
    </row>
    <row r="122">
      <c r="A122" t="n">
        <v>349261795</v>
      </c>
      <c r="B122" t="inlineStr">
        <is>
          <t>Bubble 20 Race</t>
        </is>
      </c>
      <c r="C122" s="8">
        <f>IF(LEN(D122)=0,"SÍ","NO")</f>
        <v/>
      </c>
      <c r="D122" s="7">
        <f>IF(F122="","tipo; ","")&amp;IF(G122="","propulsión; ","")&amp;IF(COUNTIF(H122:M122,"Sí")=0,"uso; ","")&amp;IF(OR(N122="",N122="Revisar"),"silla de niños; ","")&amp;IF(O122="","neumáticos; ","")&amp;IF(P122="","terreno; ","")&amp;IF(AND(G122&lt;&gt;"Pedal",Q122=""),"autonomía; ","")&amp;IF(AND(G122&lt;&gt;"Pedal",R122=""),"velocidad; ","")&amp;IF(OR(S122="",S122="Revisar"),"licencia; ","")&amp;IF(T122="","plegable; ","")&amp;IF(U122="","peso; ","")&amp;IF(AND(G122&lt;&gt;"Pedal",V122=""),"carga máx; ","")&amp;IF(AND(ISNUMBER(SEARCH("Bici",F122)),COUNTIF('Altura por modelo'!$A$2:$A$2000,A122)=0),"altura; ","")&amp;IF(COUNTIFS('Altura por modelo'!$A$2:$A$2000,A122,'Altura por modelo'!$E$2:$E$2000,"")+COUNTIFS('Altura por modelo'!$A$2:$A$2000,A122,'Altura por modelo'!$F$2:$F$2000,"")&gt;0,"altura por talle; ","")&amp;IF(AA122&lt;&gt;"Sí","desactivado; ","")</f>
        <v/>
      </c>
      <c r="E122" t="inlineStr">
        <is>
          <t>Vehículos para niños</t>
        </is>
      </c>
      <c r="F122" t="inlineStr">
        <is>
          <t>Bici infantil/juvenil</t>
        </is>
      </c>
      <c r="G122" t="inlineStr">
        <is>
          <t>Pedal</t>
        </is>
      </c>
      <c r="H122" s="10" t="inlineStr">
        <is>
          <t>No</t>
        </is>
      </c>
      <c r="I122" s="10" t="inlineStr">
        <is>
          <t>No</t>
        </is>
      </c>
      <c r="J122" s="10" t="inlineStr">
        <is>
          <t>No</t>
        </is>
      </c>
      <c r="K122" s="10" t="inlineStr">
        <is>
          <t>No</t>
        </is>
      </c>
      <c r="L122" s="10" t="inlineStr">
        <is>
          <t>No</t>
        </is>
      </c>
      <c r="M122" s="10" t="inlineStr">
        <is>
          <t>Sí</t>
        </is>
      </c>
      <c r="N122" t="inlineStr">
        <is>
          <t>No</t>
        </is>
      </c>
      <c r="O122" t="inlineStr">
        <is>
          <t>Sí</t>
        </is>
      </c>
      <c r="P122" t="inlineStr">
        <is>
          <t>Asfalto y mixto</t>
        </is>
      </c>
      <c r="S122" t="inlineStr">
        <is>
          <t>No</t>
        </is>
      </c>
      <c r="T122" t="inlineStr">
        <is>
          <t>No</t>
        </is>
      </c>
      <c r="W122" t="inlineStr">
        <is>
          <t>No</t>
        </is>
      </c>
      <c r="Z122" t="n">
        <v>0</v>
      </c>
      <c r="AA122" t="inlineStr">
        <is>
          <t>Sí</t>
        </is>
      </c>
      <c r="AB122" s="7" t="inlineStr"/>
      <c r="AC122" s="7" t="inlineStr"/>
    </row>
    <row r="123">
      <c r="A123" t="n">
        <v>349261799</v>
      </c>
      <c r="B123" t="inlineStr">
        <is>
          <t>Chloe 20 Race</t>
        </is>
      </c>
      <c r="C123" s="8">
        <f>IF(LEN(D123)=0,"SÍ","NO")</f>
        <v/>
      </c>
      <c r="D123" s="7">
        <f>IF(F123="","tipo; ","")&amp;IF(G123="","propulsión; ","")&amp;IF(COUNTIF(H123:M123,"Sí")=0,"uso; ","")&amp;IF(OR(N123="",N123="Revisar"),"silla de niños; ","")&amp;IF(O123="","neumáticos; ","")&amp;IF(P123="","terreno; ","")&amp;IF(AND(G123&lt;&gt;"Pedal",Q123=""),"autonomía; ","")&amp;IF(AND(G123&lt;&gt;"Pedal",R123=""),"velocidad; ","")&amp;IF(OR(S123="",S123="Revisar"),"licencia; ","")&amp;IF(T123="","plegable; ","")&amp;IF(U123="","peso; ","")&amp;IF(AND(G123&lt;&gt;"Pedal",V123=""),"carga máx; ","")&amp;IF(AND(ISNUMBER(SEARCH("Bici",F123)),COUNTIF('Altura por modelo'!$A$2:$A$2000,A123)=0),"altura; ","")&amp;IF(COUNTIFS('Altura por modelo'!$A$2:$A$2000,A123,'Altura por modelo'!$E$2:$E$2000,"")+COUNTIFS('Altura por modelo'!$A$2:$A$2000,A123,'Altura por modelo'!$F$2:$F$2000,"")&gt;0,"altura por talle; ","")&amp;IF(AA123&lt;&gt;"Sí","desactivado; ","")</f>
        <v/>
      </c>
      <c r="E123" t="inlineStr">
        <is>
          <t>Vehículos para niños</t>
        </is>
      </c>
      <c r="F123" t="inlineStr">
        <is>
          <t>Bici infantil/juvenil</t>
        </is>
      </c>
      <c r="G123" t="inlineStr">
        <is>
          <t>Pedal</t>
        </is>
      </c>
      <c r="H123" s="10" t="inlineStr">
        <is>
          <t>No</t>
        </is>
      </c>
      <c r="I123" s="10" t="inlineStr">
        <is>
          <t>No</t>
        </is>
      </c>
      <c r="J123" s="10" t="inlineStr">
        <is>
          <t>No</t>
        </is>
      </c>
      <c r="K123" s="10" t="inlineStr">
        <is>
          <t>No</t>
        </is>
      </c>
      <c r="L123" s="10" t="inlineStr">
        <is>
          <t>No</t>
        </is>
      </c>
      <c r="M123" s="10" t="inlineStr">
        <is>
          <t>Sí</t>
        </is>
      </c>
      <c r="N123" t="inlineStr">
        <is>
          <t>No</t>
        </is>
      </c>
      <c r="O123" t="inlineStr">
        <is>
          <t>Sí</t>
        </is>
      </c>
      <c r="P123" t="inlineStr">
        <is>
          <t>Asfalto y mixto</t>
        </is>
      </c>
      <c r="S123" t="inlineStr">
        <is>
          <t>No</t>
        </is>
      </c>
      <c r="T123" t="inlineStr">
        <is>
          <t>No</t>
        </is>
      </c>
      <c r="W123" t="inlineStr">
        <is>
          <t>No</t>
        </is>
      </c>
      <c r="Z123" t="n">
        <v>0</v>
      </c>
      <c r="AA123" t="inlineStr">
        <is>
          <t>Sí</t>
        </is>
      </c>
      <c r="AB123" s="7" t="inlineStr"/>
      <c r="AC123" s="7" t="inlineStr"/>
    </row>
    <row r="124">
      <c r="A124" t="n">
        <v>349261804</v>
      </c>
      <c r="B124" t="inlineStr">
        <is>
          <t>Chloe 24 Race</t>
        </is>
      </c>
      <c r="C124" s="8">
        <f>IF(LEN(D124)=0,"SÍ","NO")</f>
        <v/>
      </c>
      <c r="D124" s="7">
        <f>IF(F124="","tipo; ","")&amp;IF(G124="","propulsión; ","")&amp;IF(COUNTIF(H124:M124,"Sí")=0,"uso; ","")&amp;IF(OR(N124="",N124="Revisar"),"silla de niños; ","")&amp;IF(O124="","neumáticos; ","")&amp;IF(P124="","terreno; ","")&amp;IF(AND(G124&lt;&gt;"Pedal",Q124=""),"autonomía; ","")&amp;IF(AND(G124&lt;&gt;"Pedal",R124=""),"velocidad; ","")&amp;IF(OR(S124="",S124="Revisar"),"licencia; ","")&amp;IF(T124="","plegable; ","")&amp;IF(U124="","peso; ","")&amp;IF(AND(G124&lt;&gt;"Pedal",V124=""),"carga máx; ","")&amp;IF(AND(ISNUMBER(SEARCH("Bici",F124)),COUNTIF('Altura por modelo'!$A$2:$A$2000,A124)=0),"altura; ","")&amp;IF(COUNTIFS('Altura por modelo'!$A$2:$A$2000,A124,'Altura por modelo'!$E$2:$E$2000,"")+COUNTIFS('Altura por modelo'!$A$2:$A$2000,A124,'Altura por modelo'!$F$2:$F$2000,"")&gt;0,"altura por talle; ","")&amp;IF(AA124&lt;&gt;"Sí","desactivado; ","")</f>
        <v/>
      </c>
      <c r="E124" t="inlineStr">
        <is>
          <t>Vehículos para niños</t>
        </is>
      </c>
      <c r="F124" t="inlineStr">
        <is>
          <t>Bici infantil/juvenil</t>
        </is>
      </c>
      <c r="G124" t="inlineStr">
        <is>
          <t>Pedal</t>
        </is>
      </c>
      <c r="H124" s="10" t="inlineStr">
        <is>
          <t>No</t>
        </is>
      </c>
      <c r="I124" s="10" t="inlineStr">
        <is>
          <t>No</t>
        </is>
      </c>
      <c r="J124" s="10" t="inlineStr">
        <is>
          <t>No</t>
        </is>
      </c>
      <c r="K124" s="10" t="inlineStr">
        <is>
          <t>No</t>
        </is>
      </c>
      <c r="L124" s="10" t="inlineStr">
        <is>
          <t>No</t>
        </is>
      </c>
      <c r="M124" s="10" t="inlineStr">
        <is>
          <t>Sí</t>
        </is>
      </c>
      <c r="N124" t="inlineStr">
        <is>
          <t>No</t>
        </is>
      </c>
      <c r="O124" t="inlineStr">
        <is>
          <t>Sí</t>
        </is>
      </c>
      <c r="P124" t="inlineStr">
        <is>
          <t>Asfalto y mixto</t>
        </is>
      </c>
      <c r="S124" t="inlineStr">
        <is>
          <t>No</t>
        </is>
      </c>
      <c r="T124" t="inlineStr">
        <is>
          <t>No</t>
        </is>
      </c>
      <c r="W124" t="inlineStr">
        <is>
          <t>No</t>
        </is>
      </c>
      <c r="Z124" t="n">
        <v>0</v>
      </c>
      <c r="AA124" t="inlineStr">
        <is>
          <t>Sí</t>
        </is>
      </c>
      <c r="AB124" s="7" t="inlineStr"/>
      <c r="AC124" s="7" t="inlineStr"/>
    </row>
    <row r="125">
      <c r="A125" t="n">
        <v>349261809</v>
      </c>
      <c r="B125" t="inlineStr">
        <is>
          <t>Chloe 26 Race</t>
        </is>
      </c>
      <c r="C125" s="8">
        <f>IF(LEN(D125)=0,"SÍ","NO")</f>
        <v/>
      </c>
      <c r="D125" s="7">
        <f>IF(F125="","tipo; ","")&amp;IF(G125="","propulsión; ","")&amp;IF(COUNTIF(H125:M125,"Sí")=0,"uso; ","")&amp;IF(OR(N125="",N125="Revisar"),"silla de niños; ","")&amp;IF(O125="","neumáticos; ","")&amp;IF(P125="","terreno; ","")&amp;IF(AND(G125&lt;&gt;"Pedal",Q125=""),"autonomía; ","")&amp;IF(AND(G125&lt;&gt;"Pedal",R125=""),"velocidad; ","")&amp;IF(OR(S125="",S125="Revisar"),"licencia; ","")&amp;IF(T125="","plegable; ","")&amp;IF(U125="","peso; ","")&amp;IF(AND(G125&lt;&gt;"Pedal",V125=""),"carga máx; ","")&amp;IF(AND(ISNUMBER(SEARCH("Bici",F125)),COUNTIF('Altura por modelo'!$A$2:$A$2000,A125)=0),"altura; ","")&amp;IF(COUNTIFS('Altura por modelo'!$A$2:$A$2000,A125,'Altura por modelo'!$E$2:$E$2000,"")+COUNTIFS('Altura por modelo'!$A$2:$A$2000,A125,'Altura por modelo'!$F$2:$F$2000,"")&gt;0,"altura por talle; ","")&amp;IF(AA125&lt;&gt;"Sí","desactivado; ","")</f>
        <v/>
      </c>
      <c r="E125" t="inlineStr">
        <is>
          <t>Vehículos para niños</t>
        </is>
      </c>
      <c r="F125" t="inlineStr">
        <is>
          <t>Bici infantil/juvenil</t>
        </is>
      </c>
      <c r="G125" t="inlineStr">
        <is>
          <t>Pedal</t>
        </is>
      </c>
      <c r="H125" s="10" t="inlineStr">
        <is>
          <t>No</t>
        </is>
      </c>
      <c r="I125" s="10" t="inlineStr">
        <is>
          <t>No</t>
        </is>
      </c>
      <c r="J125" s="10" t="inlineStr">
        <is>
          <t>No</t>
        </is>
      </c>
      <c r="K125" s="10" t="inlineStr">
        <is>
          <t>No</t>
        </is>
      </c>
      <c r="L125" s="10" t="inlineStr">
        <is>
          <t>No</t>
        </is>
      </c>
      <c r="M125" s="10" t="inlineStr">
        <is>
          <t>Sí</t>
        </is>
      </c>
      <c r="N125" t="inlineStr">
        <is>
          <t>No</t>
        </is>
      </c>
      <c r="O125" t="inlineStr">
        <is>
          <t>Sí</t>
        </is>
      </c>
      <c r="P125" t="inlineStr">
        <is>
          <t>Asfalto y mixto</t>
        </is>
      </c>
      <c r="S125" t="inlineStr">
        <is>
          <t>No</t>
        </is>
      </c>
      <c r="T125" t="inlineStr">
        <is>
          <t>No</t>
        </is>
      </c>
      <c r="W125" t="inlineStr">
        <is>
          <t>No</t>
        </is>
      </c>
      <c r="Z125" t="n">
        <v>0</v>
      </c>
      <c r="AA125" t="inlineStr">
        <is>
          <t>Sí</t>
        </is>
      </c>
      <c r="AB125" s="7" t="inlineStr"/>
      <c r="AC125" s="7" t="inlineStr"/>
    </row>
    <row r="126">
      <c r="A126" t="n">
        <v>349261814</v>
      </c>
      <c r="B126" t="inlineStr">
        <is>
          <t>Chloe 16 Race</t>
        </is>
      </c>
      <c r="C126" s="8">
        <f>IF(LEN(D126)=0,"SÍ","NO")</f>
        <v/>
      </c>
      <c r="D126" s="7">
        <f>IF(F126="","tipo; ","")&amp;IF(G126="","propulsión; ","")&amp;IF(COUNTIF(H126:M126,"Sí")=0,"uso; ","")&amp;IF(OR(N126="",N126="Revisar"),"silla de niños; ","")&amp;IF(O126="","neumáticos; ","")&amp;IF(P126="","terreno; ","")&amp;IF(AND(G126&lt;&gt;"Pedal",Q126=""),"autonomía; ","")&amp;IF(AND(G126&lt;&gt;"Pedal",R126=""),"velocidad; ","")&amp;IF(OR(S126="",S126="Revisar"),"licencia; ","")&amp;IF(T126="","plegable; ","")&amp;IF(U126="","peso; ","")&amp;IF(AND(G126&lt;&gt;"Pedal",V126=""),"carga máx; ","")&amp;IF(AND(ISNUMBER(SEARCH("Bici",F126)),COUNTIF('Altura por modelo'!$A$2:$A$2000,A126)=0),"altura; ","")&amp;IF(COUNTIFS('Altura por modelo'!$A$2:$A$2000,A126,'Altura por modelo'!$E$2:$E$2000,"")+COUNTIFS('Altura por modelo'!$A$2:$A$2000,A126,'Altura por modelo'!$F$2:$F$2000,"")&gt;0,"altura por talle; ","")&amp;IF(AA126&lt;&gt;"Sí","desactivado; ","")</f>
        <v/>
      </c>
      <c r="E126" t="inlineStr">
        <is>
          <t>Vehículos para niños</t>
        </is>
      </c>
      <c r="F126" t="inlineStr">
        <is>
          <t>Bici infantil/juvenil</t>
        </is>
      </c>
      <c r="G126" t="inlineStr">
        <is>
          <t>Pedal</t>
        </is>
      </c>
      <c r="H126" s="10" t="inlineStr">
        <is>
          <t>No</t>
        </is>
      </c>
      <c r="I126" s="10" t="inlineStr">
        <is>
          <t>No</t>
        </is>
      </c>
      <c r="J126" s="10" t="inlineStr">
        <is>
          <t>No</t>
        </is>
      </c>
      <c r="K126" s="10" t="inlineStr">
        <is>
          <t>No</t>
        </is>
      </c>
      <c r="L126" s="10" t="inlineStr">
        <is>
          <t>No</t>
        </is>
      </c>
      <c r="M126" s="10" t="inlineStr">
        <is>
          <t>Sí</t>
        </is>
      </c>
      <c r="N126" t="inlineStr">
        <is>
          <t>No</t>
        </is>
      </c>
      <c r="O126" t="inlineStr">
        <is>
          <t>Sí</t>
        </is>
      </c>
      <c r="P126" t="inlineStr">
        <is>
          <t>Asfalto y mixto</t>
        </is>
      </c>
      <c r="S126" t="inlineStr">
        <is>
          <t>No</t>
        </is>
      </c>
      <c r="T126" t="inlineStr">
        <is>
          <t>No</t>
        </is>
      </c>
      <c r="W126" t="inlineStr">
        <is>
          <t>No</t>
        </is>
      </c>
      <c r="Z126" t="n">
        <v>0</v>
      </c>
      <c r="AA126" t="inlineStr">
        <is>
          <t>Sí</t>
        </is>
      </c>
      <c r="AB126" s="7" t="inlineStr"/>
      <c r="AC126" s="7" t="inlineStr"/>
    </row>
    <row r="127">
      <c r="A127" t="n">
        <v>350552513</v>
      </c>
      <c r="B127" t="inlineStr">
        <is>
          <t>Ant</t>
        </is>
      </c>
      <c r="C127" s="8">
        <f>IF(LEN(D127)=0,"SÍ","NO")</f>
        <v/>
      </c>
      <c r="D127" s="7">
        <f>IF(F127="","tipo; ","")&amp;IF(G127="","propulsión; ","")&amp;IF(COUNTIF(H127:M127,"Sí")=0,"uso; ","")&amp;IF(OR(N127="",N127="Revisar"),"silla de niños; ","")&amp;IF(O127="","neumáticos; ","")&amp;IF(P127="","terreno; ","")&amp;IF(AND(G127&lt;&gt;"Pedal",Q127=""),"autonomía; ","")&amp;IF(AND(G127&lt;&gt;"Pedal",R127=""),"velocidad; ","")&amp;IF(OR(S127="",S127="Revisar"),"licencia; ","")&amp;IF(T127="","plegable; ","")&amp;IF(U127="","peso; ","")&amp;IF(AND(G127&lt;&gt;"Pedal",V127=""),"carga máx; ","")&amp;IF(AND(ISNUMBER(SEARCH("Bici",F127)),COUNTIF('Altura por modelo'!$A$2:$A$2000,A127)=0),"altura; ","")&amp;IF(COUNTIFS('Altura por modelo'!$A$2:$A$2000,A127,'Altura por modelo'!$E$2:$E$2000,"")+COUNTIFS('Altura por modelo'!$A$2:$A$2000,A127,'Altura por modelo'!$F$2:$F$2000,"")&gt;0,"altura por talle; ","")&amp;IF(AA127&lt;&gt;"Sí","desactivado; ","")</f>
        <v/>
      </c>
      <c r="E127" t="inlineStr">
        <is>
          <t>Vehículos para niños</t>
        </is>
      </c>
      <c r="F127" t="inlineStr">
        <is>
          <t>Bici infantil/juvenil</t>
        </is>
      </c>
      <c r="G127" t="inlineStr">
        <is>
          <t>Pedal</t>
        </is>
      </c>
      <c r="H127" s="10" t="inlineStr">
        <is>
          <t>No</t>
        </is>
      </c>
      <c r="I127" s="10" t="inlineStr">
        <is>
          <t>No</t>
        </is>
      </c>
      <c r="J127" s="10" t="inlineStr">
        <is>
          <t>No</t>
        </is>
      </c>
      <c r="K127" s="10" t="inlineStr">
        <is>
          <t>No</t>
        </is>
      </c>
      <c r="L127" s="10" t="inlineStr">
        <is>
          <t>No</t>
        </is>
      </c>
      <c r="M127" s="10" t="inlineStr">
        <is>
          <t>Sí</t>
        </is>
      </c>
      <c r="N127" t="inlineStr">
        <is>
          <t>No</t>
        </is>
      </c>
      <c r="O127" t="inlineStr">
        <is>
          <t>Sí</t>
        </is>
      </c>
      <c r="P127" t="inlineStr">
        <is>
          <t>Asfalto y mixto</t>
        </is>
      </c>
      <c r="S127" t="inlineStr">
        <is>
          <t>No</t>
        </is>
      </c>
      <c r="T127" t="inlineStr">
        <is>
          <t>No</t>
        </is>
      </c>
      <c r="W127" t="inlineStr">
        <is>
          <t>No</t>
        </is>
      </c>
      <c r="Z127" t="n">
        <v>0</v>
      </c>
      <c r="AA127" t="inlineStr">
        <is>
          <t>Sí</t>
        </is>
      </c>
      <c r="AB127" s="7" t="inlineStr"/>
      <c r="AC127" s="7" t="inlineStr">
        <is>
          <t>Completar rodado / rango de altura.</t>
        </is>
      </c>
    </row>
    <row r="128">
      <c r="A128" t="n">
        <v>353164252</v>
      </c>
      <c r="B128" t="inlineStr">
        <is>
          <t>Rift Zone 26</t>
        </is>
      </c>
      <c r="C128" s="8">
        <f>IF(LEN(D128)=0,"SÍ","NO")</f>
        <v/>
      </c>
      <c r="D128" s="7">
        <f>IF(F128="","tipo; ","")&amp;IF(G128="","propulsión; ","")&amp;IF(COUNTIF(H128:M128,"Sí")=0,"uso; ","")&amp;IF(OR(N128="",N128="Revisar"),"silla de niños; ","")&amp;IF(O128="","neumáticos; ","")&amp;IF(P128="","terreno; ","")&amp;IF(AND(G128&lt;&gt;"Pedal",Q128=""),"autonomía; ","")&amp;IF(AND(G128&lt;&gt;"Pedal",R128=""),"velocidad; ","")&amp;IF(OR(S128="",S128="Revisar"),"licencia; ","")&amp;IF(T128="","plegable; ","")&amp;IF(U128="","peso; ","")&amp;IF(AND(G128&lt;&gt;"Pedal",V128=""),"carga máx; ","")&amp;IF(AND(ISNUMBER(SEARCH("Bici",F128)),COUNTIF('Altura por modelo'!$A$2:$A$2000,A128)=0),"altura; ","")&amp;IF(COUNTIFS('Altura por modelo'!$A$2:$A$2000,A128,'Altura por modelo'!$E$2:$E$2000,"")+COUNTIFS('Altura por modelo'!$A$2:$A$2000,A128,'Altura por modelo'!$F$2:$F$2000,"")&gt;0,"altura por talle; ","")&amp;IF(AA128&lt;&gt;"Sí","desactivado; ","")</f>
        <v/>
      </c>
      <c r="E128" t="inlineStr">
        <is>
          <t>Vehículos para niños</t>
        </is>
      </c>
      <c r="F128" t="inlineStr">
        <is>
          <t>Bici infantil/juvenil</t>
        </is>
      </c>
      <c r="G128" t="inlineStr">
        <is>
          <t>Pedal</t>
        </is>
      </c>
      <c r="H128" s="10" t="inlineStr">
        <is>
          <t>No</t>
        </is>
      </c>
      <c r="I128" s="10" t="inlineStr">
        <is>
          <t>No</t>
        </is>
      </c>
      <c r="J128" s="10" t="inlineStr">
        <is>
          <t>No</t>
        </is>
      </c>
      <c r="K128" s="10" t="inlineStr">
        <is>
          <t>No</t>
        </is>
      </c>
      <c r="L128" s="10" t="inlineStr">
        <is>
          <t>No</t>
        </is>
      </c>
      <c r="M128" s="10" t="inlineStr">
        <is>
          <t>Sí</t>
        </is>
      </c>
      <c r="N128" t="inlineStr">
        <is>
          <t>No</t>
        </is>
      </c>
      <c r="O128" t="inlineStr">
        <is>
          <t>Sí</t>
        </is>
      </c>
      <c r="P128" t="inlineStr">
        <is>
          <t>Asfalto y mixto</t>
        </is>
      </c>
      <c r="S128" t="inlineStr">
        <is>
          <t>No</t>
        </is>
      </c>
      <c r="T128" t="inlineStr">
        <is>
          <t>No</t>
        </is>
      </c>
      <c r="W128" t="inlineStr">
        <is>
          <t>No</t>
        </is>
      </c>
      <c r="Z128" t="n">
        <v>0</v>
      </c>
      <c r="AA128" t="inlineStr">
        <is>
          <t>Sí</t>
        </is>
      </c>
      <c r="AB128" s="7" t="inlineStr"/>
      <c r="AC128" s="7" t="inlineStr"/>
    </row>
    <row r="129">
      <c r="A129" t="n">
        <v>354117262</v>
      </c>
      <c r="B129" t="inlineStr">
        <is>
          <t>San Quentin 24"</t>
        </is>
      </c>
      <c r="C129" s="8">
        <f>IF(LEN(D129)=0,"SÍ","NO")</f>
        <v/>
      </c>
      <c r="D129" s="7">
        <f>IF(F129="","tipo; ","")&amp;IF(G129="","propulsión; ","")&amp;IF(COUNTIF(H129:M129,"Sí")=0,"uso; ","")&amp;IF(OR(N129="",N129="Revisar"),"silla de niños; ","")&amp;IF(O129="","neumáticos; ","")&amp;IF(P129="","terreno; ","")&amp;IF(AND(G129&lt;&gt;"Pedal",Q129=""),"autonomía; ","")&amp;IF(AND(G129&lt;&gt;"Pedal",R129=""),"velocidad; ","")&amp;IF(OR(S129="",S129="Revisar"),"licencia; ","")&amp;IF(T129="","plegable; ","")&amp;IF(U129="","peso; ","")&amp;IF(AND(G129&lt;&gt;"Pedal",V129=""),"carga máx; ","")&amp;IF(AND(ISNUMBER(SEARCH("Bici",F129)),COUNTIF('Altura por modelo'!$A$2:$A$2000,A129)=0),"altura; ","")&amp;IF(COUNTIFS('Altura por modelo'!$A$2:$A$2000,A129,'Altura por modelo'!$E$2:$E$2000,"")+COUNTIFS('Altura por modelo'!$A$2:$A$2000,A129,'Altura por modelo'!$F$2:$F$2000,"")&gt;0,"altura por talle; ","")&amp;IF(AA129&lt;&gt;"Sí","desactivado; ","")</f>
        <v/>
      </c>
      <c r="E129" t="inlineStr">
        <is>
          <t>Vehículos para niños</t>
        </is>
      </c>
      <c r="F129" t="inlineStr">
        <is>
          <t>Bici infantil/juvenil</t>
        </is>
      </c>
      <c r="G129" t="inlineStr">
        <is>
          <t>Pedal</t>
        </is>
      </c>
      <c r="H129" s="10" t="inlineStr">
        <is>
          <t>No</t>
        </is>
      </c>
      <c r="I129" s="10" t="inlineStr">
        <is>
          <t>No</t>
        </is>
      </c>
      <c r="J129" s="10" t="inlineStr">
        <is>
          <t>No</t>
        </is>
      </c>
      <c r="K129" s="10" t="inlineStr">
        <is>
          <t>No</t>
        </is>
      </c>
      <c r="L129" s="10" t="inlineStr">
        <is>
          <t>No</t>
        </is>
      </c>
      <c r="M129" s="10" t="inlineStr">
        <is>
          <t>Sí</t>
        </is>
      </c>
      <c r="N129" t="inlineStr">
        <is>
          <t>No</t>
        </is>
      </c>
      <c r="O129" t="inlineStr">
        <is>
          <t>Sí</t>
        </is>
      </c>
      <c r="P129" t="inlineStr">
        <is>
          <t>Asfalto y mixto</t>
        </is>
      </c>
      <c r="S129" t="inlineStr">
        <is>
          <t>No</t>
        </is>
      </c>
      <c r="T129" t="inlineStr">
        <is>
          <t>No</t>
        </is>
      </c>
      <c r="W129" t="inlineStr">
        <is>
          <t>No</t>
        </is>
      </c>
      <c r="Z129" t="n">
        <v>0</v>
      </c>
      <c r="AA129" t="inlineStr">
        <is>
          <t>Sí</t>
        </is>
      </c>
      <c r="AB129" s="7" t="inlineStr"/>
      <c r="AC129" s="7" t="inlineStr"/>
    </row>
  </sheetData>
  <autoFilter ref="A1:AC129"/>
  <conditionalFormatting sqref="C2:C329">
    <cfRule type="cellIs" priority="1" operator="equal" dxfId="0">
      <formula>"SÍ"</formula>
    </cfRule>
    <cfRule type="cellIs" priority="2" operator="equal" dxfId="1">
      <formula>"NO"</formula>
    </cfRule>
  </conditionalFormatting>
  <dataValidations count="12">
    <dataValidation sqref="F2:F329" showDropDown="0" showInputMessage="0" showErrorMessage="0" allowBlank="1" type="list">
      <formula1>=Listas!$A$2:$A$30</formula1>
    </dataValidation>
    <dataValidation sqref="G2:G329" showDropDown="0" showInputMessage="0" showErrorMessage="0" allowBlank="1" type="list">
      <formula1>=Listas!$B$2:$B$6</formula1>
    </dataValidation>
    <dataValidation sqref="H2:M329" showDropDown="0" showInputMessage="0" showErrorMessage="0" allowBlank="1" type="list">
      <formula1>"Sí,No"</formula1>
    </dataValidation>
    <dataValidation sqref="N2:N329" showDropDown="0" showInputMessage="0" showErrorMessage="0" allowBlank="1" type="list">
      <formula1>"Sí,No,Revisar"</formula1>
    </dataValidation>
    <dataValidation sqref="O2:O329" showDropDown="0" showInputMessage="0" showErrorMessage="0" allowBlank="1" type="list">
      <formula1>"Sí,No"</formula1>
    </dataValidation>
    <dataValidation sqref="P2:P329" showDropDown="0" showInputMessage="0" showErrorMessage="0" allowBlank="1" type="list">
      <formula1>=Listas!$C$2:$C$6</formula1>
    </dataValidation>
    <dataValidation sqref="S2:S329" showDropDown="0" showInputMessage="0" showErrorMessage="0" allowBlank="1" type="list">
      <formula1>"Sí,No,Revisar"</formula1>
    </dataValidation>
    <dataValidation sqref="T2:T329" showDropDown="0" showInputMessage="0" showErrorMessage="0" allowBlank="1" type="list">
      <formula1>"Sí,No,Parcial"</formula1>
    </dataValidation>
    <dataValidation sqref="W2:W329" showDropDown="0" showInputMessage="0" showErrorMessage="0" allowBlank="1" type="list">
      <formula1>"Sí,No"</formula1>
    </dataValidation>
    <dataValidation sqref="Y2:Y329" showDropDown="0" showInputMessage="0" showErrorMessage="0" allowBlank="1" type="list">
      <formula1>"Entrada,Medio,Alto"</formula1>
    </dataValidation>
    <dataValidation sqref="Z2:Z329" showDropDown="0" showInputMessage="0" showErrorMessage="0" allowBlank="1" type="list">
      <formula1>"0,1,2,3"</formula1>
    </dataValidation>
    <dataValidation sqref="AA2:AA329" showDropDown="0" showInputMessage="0" showErrorMessage="0" allowBlank="1" type="list">
      <formula1>"Sí,No"</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34" customWidth="1" min="3" max="3"/>
    <col width="12" customWidth="1" min="4" max="4"/>
    <col width="34" customWidth="1" min="5" max="5"/>
    <col width="16" customWidth="1" min="6" max="6"/>
    <col width="70" customWidth="1" min="7" max="7"/>
  </cols>
  <sheetData>
    <row r="1" ht="34" customHeight="1">
      <c r="A1" s="6" t="inlineStr">
        <is>
          <t>Tipo de vehículo</t>
        </is>
      </c>
      <c r="B1" s="6" t="inlineStr">
        <is>
          <t>Rol en el combo</t>
        </is>
      </c>
      <c r="C1" s="6" t="inlineStr">
        <is>
          <t>Categoría TN (ID)</t>
        </is>
      </c>
      <c r="D1" s="6" t="inlineStr">
        <is>
          <t>Combo</t>
        </is>
      </c>
      <c r="E1" s="6" t="inlineStr">
        <is>
          <t>Condición</t>
        </is>
      </c>
      <c r="F1" s="6" t="inlineStr">
        <is>
          <t>Nivel a elegir</t>
        </is>
      </c>
      <c r="G1" s="6" t="inlineStr">
        <is>
          <t>Por qué (texto al cliente)</t>
        </is>
      </c>
    </row>
    <row r="2">
      <c r="A2" s="7" t="inlineStr">
        <is>
          <t>Bicis (todas)</t>
        </is>
      </c>
      <c r="B2" s="7" t="inlineStr">
        <is>
          <t>Casco</t>
        </is>
      </c>
      <c r="C2" s="7" t="inlineStr">
        <is>
          <t>Cascos &gt; Para ciclismo (30169776)</t>
        </is>
      </c>
      <c r="D2" s="7" t="inlineStr">
        <is>
          <t>Esencial</t>
        </is>
      </c>
      <c r="E2" s="7" t="inlineStr">
        <is>
          <t>Si no tiene casco</t>
        </is>
      </c>
      <c r="F2" s="7" t="inlineStr">
        <is>
          <t>Medio</t>
        </is>
      </c>
      <c r="G2" s="7" t="inlineStr">
        <is>
          <t>Lo primero: protege tu cabeza en cada salida.</t>
        </is>
      </c>
    </row>
    <row r="3">
      <c r="A3" s="7" t="inlineStr">
        <is>
          <t>Bicis (todas)</t>
        </is>
      </c>
      <c r="B3" s="7" t="inlineStr">
        <is>
          <t>Candado</t>
        </is>
      </c>
      <c r="C3" s="7" t="inlineStr">
        <is>
          <t>Candados y accesorios (30169763), sin 'Específicos de moto'</t>
        </is>
      </c>
      <c r="D3" s="7" t="inlineStr">
        <is>
          <t>Esencial</t>
        </is>
      </c>
      <c r="E3" s="7" t="inlineStr">
        <is>
          <t>Estaciona en la calle</t>
        </is>
      </c>
      <c r="F3" s="7" t="inlineStr">
        <is>
          <t>Alto, sin cables</t>
        </is>
      </c>
      <c r="G3" s="7" t="inlineStr">
        <is>
          <t>En la calle, un U-lock, cadena o plegable de alta seguridad es lo que frena un robo.</t>
        </is>
      </c>
    </row>
    <row r="4">
      <c r="A4" s="7" t="inlineStr">
        <is>
          <t>Bicis (todas)</t>
        </is>
      </c>
      <c r="B4" s="7" t="inlineStr">
        <is>
          <t>Candado</t>
        </is>
      </c>
      <c r="C4" s="7" t="inlineStr">
        <is>
          <t>Candados y accesorios (30169763)</t>
        </is>
      </c>
      <c r="D4" s="7" t="inlineStr">
        <is>
          <t>Esencial</t>
        </is>
      </c>
      <c r="E4" s="7" t="inlineStr">
        <is>
          <t>Guarda adentro</t>
        </is>
      </c>
      <c r="F4" s="7" t="inlineStr">
        <is>
          <t>Económico</t>
        </is>
      </c>
      <c r="G4" s="7" t="inlineStr">
        <is>
          <t>Para paradas cortas alcanza con uno liviano.</t>
        </is>
      </c>
    </row>
    <row r="5">
      <c r="A5" s="7" t="inlineStr">
        <is>
          <t>Bicis sin motor</t>
        </is>
      </c>
      <c r="B5" s="7" t="inlineStr">
        <is>
          <t>Luces</t>
        </is>
      </c>
      <c r="C5" s="7" t="inlineStr">
        <is>
          <t>Luces &gt; Para bicicleta (30169757)</t>
        </is>
      </c>
      <c r="D5" s="7" t="inlineStr">
        <is>
          <t>Esencial</t>
        </is>
      </c>
      <c r="E5" s="7" t="inlineStr">
        <is>
          <t>Siempre (mejor nivel si anda de noche)</t>
        </is>
      </c>
      <c r="F5" s="7" t="inlineStr">
        <is>
          <t>Medio / Alto de noche</t>
        </is>
      </c>
      <c r="G5" s="7" t="inlineStr">
        <is>
          <t>Para ver y, sobre todo, que te vean.</t>
        </is>
      </c>
    </row>
    <row r="6">
      <c r="A6" s="7" t="inlineStr">
        <is>
          <t>Bicis eléctricas</t>
        </is>
      </c>
      <c r="B6" s="7" t="inlineStr">
        <is>
          <t>Luces</t>
        </is>
      </c>
      <c r="C6" s="7" t="inlineStr">
        <is>
          <t>Luces &gt; Para bicicleta (30169757)</t>
        </is>
      </c>
      <c r="D6" s="7" t="inlineStr">
        <is>
          <t>Completo</t>
        </is>
      </c>
      <c r="E6" s="7" t="inlineStr">
        <is>
          <t>Solo si la ficha no trae luces</t>
        </is>
      </c>
      <c r="F6" s="7" t="inlineStr">
        <is>
          <t>Medio</t>
        </is>
      </c>
      <c r="G6" s="7" t="inlineStr">
        <is>
          <t>Luz extra para ser más visible.</t>
        </is>
      </c>
    </row>
    <row r="7">
      <c r="A7" s="7" t="inlineStr">
        <is>
          <t>Todo con 'Neumáticos con aire' = Sí (bicis, monopatines)</t>
        </is>
      </c>
      <c r="B7" s="7" t="inlineStr">
        <is>
          <t>Inflador</t>
        </is>
      </c>
      <c r="C7" s="7" t="inlineStr">
        <is>
          <t>Infladores &gt; De mano (38434548) / De pie (38567338)</t>
        </is>
      </c>
      <c r="D7" s="7" t="inlineStr">
        <is>
          <t>Esencial</t>
        </is>
      </c>
      <c r="E7" s="7" t="inlineStr">
        <is>
          <t>Si no tiene inflador</t>
        </is>
      </c>
      <c r="F7" s="7" t="inlineStr">
        <is>
          <t>Medio</t>
        </is>
      </c>
      <c r="G7" s="7" t="inlineStr">
        <is>
          <t>Con la presión justa rueda mejor, gastás menos batería o piernas y evitás pinchaduras.</t>
        </is>
      </c>
    </row>
    <row r="8">
      <c r="A8" s="7" t="inlineStr">
        <is>
          <t>Moto eléctrica</t>
        </is>
      </c>
      <c r="B8" s="7" t="inlineStr">
        <is>
          <t>Inflador</t>
        </is>
      </c>
      <c r="C8" s="7" t="inlineStr">
        <is>
          <t>Infladores &gt; Eléctricos (38938743)</t>
        </is>
      </c>
      <c r="D8" s="7" t="inlineStr">
        <is>
          <t>Completo</t>
        </is>
      </c>
      <c r="E8" s="7" t="inlineStr">
        <is>
          <t>Si no tiene inflador</t>
        </is>
      </c>
      <c r="F8" s="7" t="inlineStr">
        <is>
          <t>Medio</t>
        </is>
      </c>
      <c r="G8" s="7" t="inlineStr">
        <is>
          <t>Para controlar la presión sin ir a la gomería.</t>
        </is>
      </c>
    </row>
    <row r="9">
      <c r="A9" s="7" t="inlineStr">
        <is>
          <t>Bicis con 'Acepta silla de niños' = Sí</t>
        </is>
      </c>
      <c r="B9" s="7" t="inlineStr">
        <is>
          <t>Silla para niños</t>
        </is>
      </c>
      <c r="C9" s="7" t="inlineStr">
        <is>
          <t>Sillas para niños (30169830)</t>
        </is>
      </c>
      <c r="D9" s="7" t="inlineStr">
        <is>
          <t>Esencial</t>
        </is>
      </c>
      <c r="E9" s="7" t="inlineStr">
        <is>
          <t>Marcó 'Llevar a los chicos'</t>
        </is>
      </c>
      <c r="F9" s="7" t="inlineStr">
        <is>
          <t>Medio</t>
        </is>
      </c>
      <c r="G9" s="7" t="inlineStr">
        <is>
          <t>Para llevar a los chicos seguros desde el primer día.</t>
        </is>
      </c>
    </row>
    <row r="10">
      <c r="A10" s="7" t="inlineStr">
        <is>
          <t>Bicis (todas)</t>
        </is>
      </c>
      <c r="B10" s="7" t="inlineStr">
        <is>
          <t>Portapaquetes, canasto o alforjas</t>
        </is>
      </c>
      <c r="C10" s="7" t="inlineStr">
        <is>
          <t>Portapaquetes (30169786) / Bolsos y canastos (33821153) / Mochilas, alforjas y morrales (33844521)</t>
        </is>
      </c>
      <c r="D10" s="7" t="inlineStr">
        <is>
          <t>Esencial</t>
        </is>
      </c>
      <c r="E10" s="7" t="inlineStr">
        <is>
          <t>Marcó 'Llevar carga'</t>
        </is>
      </c>
      <c r="F10" s="7" t="inlineStr">
        <is>
          <t>Medio</t>
        </is>
      </c>
      <c r="G10" s="7" t="inlineStr">
        <is>
          <t>Para llevar las compras o el trabajo sin cargar la espalda.</t>
        </is>
      </c>
    </row>
    <row r="11">
      <c r="A11" s="7" t="inlineStr">
        <is>
          <t>Bicis urbanas / plegables</t>
        </is>
      </c>
      <c r="B11" s="7" t="inlineStr">
        <is>
          <t>Portapaquetes o canasto</t>
        </is>
      </c>
      <c r="C11" s="7" t="inlineStr">
        <is>
          <t>Portapaquetes (30169786) / Bolsos y canastos (33821153)</t>
        </is>
      </c>
      <c r="D11" s="7" t="inlineStr">
        <is>
          <t>Completo</t>
        </is>
      </c>
      <c r="E11" s="7" t="inlineStr">
        <is>
          <t>Uso diario o paseo (si no marcó carga)</t>
        </is>
      </c>
      <c r="F11" s="7" t="inlineStr">
        <is>
          <t>Medio</t>
        </is>
      </c>
      <c r="G11" s="7" t="inlineStr">
        <is>
          <t>Para llevar tus cosas sin cargar la espalda.</t>
        </is>
      </c>
    </row>
    <row r="12">
      <c r="A12" s="7" t="inlineStr">
        <is>
          <t>Bicis gravel / MTB / ruta</t>
        </is>
      </c>
      <c r="B12" s="7" t="inlineStr">
        <is>
          <t>Caramañola + soporte</t>
        </is>
      </c>
      <c r="C12" s="7" t="inlineStr">
        <is>
          <t>Caramañolas, botellas y soportes (30169771)</t>
        </is>
      </c>
      <c r="D12" s="7" t="inlineStr">
        <is>
          <t>Completo</t>
        </is>
      </c>
      <c r="E12" s="7" t="inlineStr">
        <is>
          <t>Uso deporte o distancia &gt; 15 km</t>
        </is>
      </c>
      <c r="F12" s="7" t="inlineStr">
        <is>
          <t>Medio</t>
        </is>
      </c>
      <c r="G12" s="7" t="inlineStr">
        <is>
          <t>Hidratación a mano.</t>
        </is>
      </c>
    </row>
    <row r="13">
      <c r="A13" s="7" t="inlineStr">
        <is>
          <t>Bicis infantiles</t>
        </is>
      </c>
      <c r="B13" s="7" t="inlineStr">
        <is>
          <t>Casco</t>
        </is>
      </c>
      <c r="C13" s="7" t="inlineStr">
        <is>
          <t>Cascos &gt; Para ciclismo (30169776), solo infantiles</t>
        </is>
      </c>
      <c r="D13" s="7" t="inlineStr">
        <is>
          <t>Esencial</t>
        </is>
      </c>
      <c r="E13" s="7" t="inlineStr">
        <is>
          <t>Siempre</t>
        </is>
      </c>
      <c r="F13" s="7" t="inlineStr">
        <is>
          <t>Medio</t>
        </is>
      </c>
      <c r="G13" s="7" t="inlineStr">
        <is>
          <t>Para que aprenda con el casco puesto desde el primer día.</t>
        </is>
      </c>
    </row>
    <row r="14">
      <c r="A14" s="7" t="inlineStr">
        <is>
          <t>Monopatín eléctrico</t>
        </is>
      </c>
      <c r="B14" s="7" t="inlineStr">
        <is>
          <t>Casco</t>
        </is>
      </c>
      <c r="C14" s="7" t="inlineStr">
        <is>
          <t>Cascos &gt; Para ciclismo (30169776)</t>
        </is>
      </c>
      <c r="D14" s="7" t="inlineStr">
        <is>
          <t>Esencial</t>
        </is>
      </c>
      <c r="E14" s="7" t="inlineStr">
        <is>
          <t>Si no tiene casco</t>
        </is>
      </c>
      <c r="F14" s="7" t="inlineStr">
        <is>
          <t>Medio</t>
        </is>
      </c>
      <c r="G14" s="7" t="inlineStr">
        <is>
          <t>A más de 20 km/h, el casco no es opcional.</t>
        </is>
      </c>
    </row>
    <row r="15">
      <c r="A15" s="7" t="inlineStr">
        <is>
          <t>Monopatín eléctrico</t>
        </is>
      </c>
      <c r="B15" s="7" t="inlineStr">
        <is>
          <t>Candado</t>
        </is>
      </c>
      <c r="C15" s="7" t="inlineStr">
        <is>
          <t>Candados y accesorios (30169763): cable o plegable</t>
        </is>
      </c>
      <c r="D15" s="7" t="inlineStr">
        <is>
          <t>Esencial</t>
        </is>
      </c>
      <c r="E15" s="7" t="inlineStr">
        <is>
          <t>Estaciona en la calle</t>
        </is>
      </c>
      <c r="F15" s="7" t="inlineStr">
        <is>
          <t>Medio</t>
        </is>
      </c>
      <c r="G15" s="7" t="inlineStr">
        <is>
          <t>Para atarlo cuando bajás a hacer algo.</t>
        </is>
      </c>
    </row>
    <row r="16">
      <c r="A16" s="7" t="inlineStr">
        <is>
          <t>Monopatín eléctrico</t>
        </is>
      </c>
      <c r="B16" s="7" t="inlineStr">
        <is>
          <t>Porta celular</t>
        </is>
      </c>
      <c r="C16" s="7" t="inlineStr">
        <is>
          <t>Porta celulares &gt; Para bicicleta (37360471)</t>
        </is>
      </c>
      <c r="D16" s="7" t="inlineStr">
        <is>
          <t>Completo</t>
        </is>
      </c>
      <c r="E16" s="7" t="inlineStr">
        <is>
          <t>Uso diario</t>
        </is>
      </c>
      <c r="F16" s="7" t="inlineStr">
        <is>
          <t>Medio</t>
        </is>
      </c>
      <c r="G16" s="7" t="inlineStr">
        <is>
          <t>Para usar el GPS sin sacar el celular del bolsillo.</t>
        </is>
      </c>
    </row>
    <row r="17">
      <c r="A17" s="7" t="inlineStr">
        <is>
          <t>Monopatín eléctrico</t>
        </is>
      </c>
      <c r="B17" s="7" t="inlineStr">
        <is>
          <t>Guantes</t>
        </is>
      </c>
      <c r="C17" s="7" t="inlineStr">
        <is>
          <t>Guantes &gt; Para ciclismo (30169781)</t>
        </is>
      </c>
      <c r="D17" s="7" t="inlineStr">
        <is>
          <t>Completo</t>
        </is>
      </c>
      <c r="E17" s="7" t="inlineStr">
        <is>
          <t>Siempre</t>
        </is>
      </c>
      <c r="F17" s="7" t="inlineStr">
        <is>
          <t>Medio</t>
        </is>
      </c>
      <c r="G17" s="7" t="inlineStr">
        <is>
          <t>Más agarre y protección en las manos.</t>
        </is>
      </c>
    </row>
    <row r="18">
      <c r="A18" s="7" t="inlineStr">
        <is>
          <t>Moto eléctrica</t>
        </is>
      </c>
      <c r="B18" s="7" t="inlineStr">
        <is>
          <t>Casco de moto</t>
        </is>
      </c>
      <c r="C18" s="7" t="inlineStr">
        <is>
          <t>Cascos &gt; Para moto (30170011)</t>
        </is>
      </c>
      <c r="D18" s="7" t="inlineStr">
        <is>
          <t>Esencial</t>
        </is>
      </c>
      <c r="E18" s="7" t="inlineStr">
        <is>
          <t>Siempre (obligatorio)</t>
        </is>
      </c>
      <c r="F18" s="7" t="inlineStr">
        <is>
          <t>Medio</t>
        </is>
      </c>
      <c r="G18" s="7" t="inlineStr">
        <is>
          <t>Obligatorio para circular.</t>
        </is>
      </c>
    </row>
    <row r="19">
      <c r="A19" s="7" t="inlineStr">
        <is>
          <t>Moto eléctrica</t>
        </is>
      </c>
      <c r="B19" s="7" t="inlineStr">
        <is>
          <t>Traba disco / candado de moto</t>
        </is>
      </c>
      <c r="C19" s="7" t="inlineStr">
        <is>
          <t>Candados &gt; Específicos de moto (35512464)</t>
        </is>
      </c>
      <c r="D19" s="7" t="inlineStr">
        <is>
          <t>Esencial</t>
        </is>
      </c>
      <c r="E19" s="7" t="inlineStr">
        <is>
          <t>Estaciona en la calle</t>
        </is>
      </c>
      <c r="F19" s="7" t="inlineStr">
        <is>
          <t>Alto</t>
        </is>
      </c>
      <c r="G19" s="7" t="inlineStr">
        <is>
          <t>La traba de disco impide que se la lleven rodando.</t>
        </is>
      </c>
    </row>
    <row r="20">
      <c r="A20" s="7" t="inlineStr">
        <is>
          <t>Moto eléctrica</t>
        </is>
      </c>
      <c r="B20" s="7" t="inlineStr">
        <is>
          <t>Baúl</t>
        </is>
      </c>
      <c r="C20" s="7" t="inlineStr">
        <is>
          <t>Baúles (30170012)</t>
        </is>
      </c>
      <c r="D20" s="7" t="inlineStr">
        <is>
          <t>Completo</t>
        </is>
      </c>
      <c r="E20" s="7" t="inlineStr">
        <is>
          <t>Uso diario o carga</t>
        </is>
      </c>
      <c r="F20" s="7" t="inlineStr">
        <is>
          <t>Medio</t>
        </is>
      </c>
      <c r="G20" s="7" t="inlineStr">
        <is>
          <t>Para guardar casco, compras o la mochila.</t>
        </is>
      </c>
    </row>
    <row r="21">
      <c r="A21" s="7" t="inlineStr">
        <is>
          <t>Moto eléctrica</t>
        </is>
      </c>
      <c r="B21" s="7" t="inlineStr">
        <is>
          <t>Cubremanos</t>
        </is>
      </c>
      <c r="C21" s="7" t="inlineStr">
        <is>
          <t>Cubremanos (30170054)</t>
        </is>
      </c>
      <c r="D21" s="7" t="inlineStr">
        <is>
          <t>Completo</t>
        </is>
      </c>
      <c r="E21" s="7" t="inlineStr">
        <is>
          <t>Siempre</t>
        </is>
      </c>
      <c r="F21" s="7" t="inlineStr">
        <is>
          <t>Medio</t>
        </is>
      </c>
      <c r="G21" s="7" t="inlineStr">
        <is>
          <t>Manos secas y abrigadas en invierno.</t>
        </is>
      </c>
    </row>
    <row r="22">
      <c r="A22" s="7" t="inlineStr">
        <is>
          <t>Moto eléctrica</t>
        </is>
      </c>
      <c r="B22" s="7" t="inlineStr">
        <is>
          <t>Guantes de moto</t>
        </is>
      </c>
      <c r="C22" s="7" t="inlineStr">
        <is>
          <t>Guantes &gt; Para moto (30247745)</t>
        </is>
      </c>
      <c r="D22" s="7" t="inlineStr">
        <is>
          <t>Completo</t>
        </is>
      </c>
      <c r="E22" s="7" t="inlineStr">
        <is>
          <t>Siempre</t>
        </is>
      </c>
      <c r="F22" s="7" t="inlineStr">
        <is>
          <t>Medio</t>
        </is>
      </c>
      <c r="G22" s="7" t="inlineStr">
        <is>
          <t>Protección y agarre.</t>
        </is>
      </c>
    </row>
    <row r="23">
      <c r="A23" s="7" t="inlineStr">
        <is>
          <t>Moto eléctrica</t>
        </is>
      </c>
      <c r="B23" s="7" t="inlineStr">
        <is>
          <t>Funda</t>
        </is>
      </c>
      <c r="C23" s="7" t="inlineStr">
        <is>
          <t>Fundas para moto (37279095)</t>
        </is>
      </c>
      <c r="D23" s="7" t="inlineStr">
        <is>
          <t>Completo</t>
        </is>
      </c>
      <c r="E23" s="7" t="inlineStr">
        <is>
          <t>Estaciona en la calle</t>
        </is>
      </c>
      <c r="F23" s="7" t="inlineStr">
        <is>
          <t>Medio</t>
        </is>
      </c>
      <c r="G23" s="7" t="inlineStr">
        <is>
          <t>Protege del sol y la lluvia.</t>
        </is>
      </c>
    </row>
    <row r="24">
      <c r="A24" s="7" t="inlineStr">
        <is>
          <t>Bici eléctrica tipo moto</t>
        </is>
      </c>
      <c r="B24" s="7" t="inlineStr">
        <is>
          <t>Casco</t>
        </is>
      </c>
      <c r="C24" s="7" t="inlineStr">
        <is>
          <t>Cascos &gt; Para moto (30170011)</t>
        </is>
      </c>
      <c r="D24" s="7" t="inlineStr">
        <is>
          <t>Esencial</t>
        </is>
      </c>
      <c r="E24" s="7" t="inlineStr">
        <is>
          <t>Velocidad máx &gt; 25 km/h</t>
        </is>
      </c>
      <c r="F24" s="7" t="inlineStr">
        <is>
          <t>Medio</t>
        </is>
      </c>
      <c r="G24" s="7" t="inlineStr">
        <is>
          <t>Anda rápido: te recomendamos casco de moto.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4"/>
  <sheetViews>
    <sheetView workbookViewId="0">
      <pane ySplit="1" topLeftCell="A2" activePane="bottomLeft" state="frozen"/>
      <selection pane="bottomLeft" activeCell="A1" sqref="A1"/>
    </sheetView>
  </sheetViews>
  <sheetFormatPr baseColWidth="8" defaultRowHeight="15"/>
  <cols>
    <col width="40" customWidth="1" min="1" max="1"/>
    <col width="11" customWidth="1" min="2" max="2"/>
    <col width="30" customWidth="1" min="3" max="3"/>
    <col width="26" customWidth="1" min="4" max="4"/>
    <col width="30" customWidth="1" min="5" max="5"/>
    <col width="70" customWidth="1" min="6" max="6"/>
  </cols>
  <sheetData>
    <row r="1" ht="34" customHeight="1">
      <c r="A1" s="6" t="inlineStr">
        <is>
          <t>Categoría TN</t>
        </is>
      </c>
      <c r="B1" s="6" t="inlineStr">
        <is>
          <t>ID</t>
        </is>
      </c>
      <c r="C1" s="6" t="inlineStr">
        <is>
          <t>Para qué vehículos</t>
        </is>
      </c>
      <c r="D1" s="6" t="inlineStr">
        <is>
          <t>Dónde aparece</t>
        </is>
      </c>
      <c r="E1" s="6" t="inlineStr">
        <is>
          <t>Condición</t>
        </is>
      </c>
      <c r="F1" s="6" t="inlineStr">
        <is>
          <t>Gancho (texto al cliente)</t>
        </is>
      </c>
    </row>
    <row r="2">
      <c r="A2" s="7" t="inlineStr">
        <is>
          <t>Herramientas y arreglos</t>
        </is>
      </c>
      <c r="B2" s="7" t="n">
        <v>30169760</v>
      </c>
      <c r="C2" s="7" t="inlineStr">
        <is>
          <t>Bicis y bicis eléctricas, monopatines</t>
        </is>
      </c>
      <c r="D2" s="7" t="inlineStr">
        <is>
          <t>Completá tu equipo</t>
        </is>
      </c>
      <c r="E2" s="7" t="inlineStr">
        <is>
          <t>Siempre</t>
        </is>
      </c>
      <c r="F2" s="7" t="inlineStr">
        <is>
          <t>Un multiherramienta chico te saca de apuros en la calle.</t>
        </is>
      </c>
    </row>
    <row r="3">
      <c r="A3" s="7" t="inlineStr">
        <is>
          <t>Aceites y grasas (herramientas)</t>
        </is>
      </c>
      <c r="B3" s="7" t="n">
        <v>35488195</v>
      </c>
      <c r="C3" s="7" t="inlineStr">
        <is>
          <t>Bicis y bicis eléctricas</t>
        </is>
      </c>
      <c r="D3" s="7" t="inlineStr">
        <is>
          <t>Completá tu equipo</t>
        </is>
      </c>
      <c r="E3" s="7" t="inlineStr">
        <is>
          <t>Siempre</t>
        </is>
      </c>
      <c r="F3" s="7" t="inlineStr">
        <is>
          <t>Una cadena lubricada dura el doble y no hace ruido.</t>
        </is>
      </c>
    </row>
    <row r="4">
      <c r="A4" s="7" t="inlineStr">
        <is>
          <t>Selladores y garrafas de CO2</t>
        </is>
      </c>
      <c r="B4" s="7" t="n">
        <v>33843328</v>
      </c>
      <c r="C4" s="7" t="inlineStr">
        <is>
          <t>Bicis y bicis eléctricas, monopatines tubeless</t>
        </is>
      </c>
      <c r="D4" s="7" t="inlineStr">
        <is>
          <t>Completá tu equipo</t>
        </is>
      </c>
      <c r="E4" s="7" t="inlineStr">
        <is>
          <t>Neumáticos con aire</t>
        </is>
      </c>
      <c r="F4" s="7" t="inlineStr">
        <is>
          <t>Para reparar una pinchadura en minutos, sin desarmar nada.</t>
        </is>
      </c>
    </row>
    <row r="5">
      <c r="A5" s="7" t="inlineStr">
        <is>
          <t>Cámaras</t>
        </is>
      </c>
      <c r="B5" s="7" t="n">
        <v>33843545</v>
      </c>
      <c r="C5" s="7" t="inlineStr">
        <is>
          <t>Bicis</t>
        </is>
      </c>
      <c r="D5" s="7" t="inlineStr">
        <is>
          <t>Completá tu equipo</t>
        </is>
      </c>
      <c r="E5" s="7" t="inlineStr">
        <is>
          <t>Neumáticos con aire</t>
        </is>
      </c>
      <c r="F5" s="7" t="inlineStr">
        <is>
          <t>Una cámara de repuesto en la mochila y nunca quedás a pie.</t>
        </is>
      </c>
    </row>
    <row r="6">
      <c r="A6" s="7" t="inlineStr">
        <is>
          <t>Bolsos bajo asiento</t>
        </is>
      </c>
      <c r="B6" s="7" t="n">
        <v>39457222</v>
      </c>
      <c r="C6" s="7" t="inlineStr">
        <is>
          <t>Bicis y bicis eléctricas</t>
        </is>
      </c>
      <c r="D6" s="7" t="inlineStr">
        <is>
          <t>Completá tu equipo</t>
        </is>
      </c>
      <c r="E6" s="7" t="inlineStr">
        <is>
          <t>Siempre</t>
        </is>
      </c>
      <c r="F6" s="7" t="inlineStr">
        <is>
          <t>Para llevar la cámara, el inflador y las llaves sin mochila.</t>
        </is>
      </c>
    </row>
    <row r="7">
      <c r="A7" s="7" t="inlineStr">
        <is>
          <t>Porta celulares &gt; Para bicicleta</t>
        </is>
      </c>
      <c r="B7" s="7" t="n">
        <v>37360471</v>
      </c>
      <c r="C7" s="7" t="inlineStr">
        <is>
          <t>Bicis y bicis eléctricas, monopatines</t>
        </is>
      </c>
      <c r="D7" s="7" t="inlineStr">
        <is>
          <t>Completá tu equipo</t>
        </is>
      </c>
      <c r="E7" s="7" t="inlineStr">
        <is>
          <t>Uso diario</t>
        </is>
      </c>
      <c r="F7" s="7" t="inlineStr">
        <is>
          <t>El GPS a la vista, sin sacar el celular del bolsillo.</t>
        </is>
      </c>
    </row>
    <row r="8">
      <c r="A8" s="7" t="inlineStr">
        <is>
          <t>Porta celulares &gt; Para moto</t>
        </is>
      </c>
      <c r="B8" s="7" t="n">
        <v>35481325</v>
      </c>
      <c r="C8" s="7" t="inlineStr">
        <is>
          <t>Motos eléctricas</t>
        </is>
      </c>
      <c r="D8" s="7" t="inlineStr">
        <is>
          <t>Completá tu equipo</t>
        </is>
      </c>
      <c r="E8" s="7" t="inlineStr">
        <is>
          <t>Siempre</t>
        </is>
      </c>
      <c r="F8" s="7" t="inlineStr">
        <is>
          <t>El GPS a la vista mientras manejás.</t>
        </is>
      </c>
    </row>
    <row r="9">
      <c r="A9" s="7" t="inlineStr">
        <is>
          <t>Timbres y bocinas</t>
        </is>
      </c>
      <c r="B9" s="7" t="n">
        <v>30169819</v>
      </c>
      <c r="C9" s="7" t="inlineStr">
        <is>
          <t>Bicis y bicis eléctricas</t>
        </is>
      </c>
      <c r="D9" s="7" t="inlineStr">
        <is>
          <t>Completá tu equipo</t>
        </is>
      </c>
      <c r="E9" s="7" t="inlineStr">
        <is>
          <t>Uso diario o paseo</t>
        </is>
      </c>
      <c r="F9" s="7" t="inlineStr">
        <is>
          <t>Para avisar en la bicisenda sin gritar.</t>
        </is>
      </c>
    </row>
    <row r="10">
      <c r="A10" s="7" t="inlineStr">
        <is>
          <t>Espejos retrovisores</t>
        </is>
      </c>
      <c r="B10" s="7" t="n">
        <v>30169817</v>
      </c>
      <c r="C10" s="7" t="inlineStr">
        <is>
          <t>Bicis y bicis eléctricas, monopatines</t>
        </is>
      </c>
      <c r="D10" s="7" t="inlineStr">
        <is>
          <t>Completá tu equipo</t>
        </is>
      </c>
      <c r="E10" s="7" t="inlineStr">
        <is>
          <t>Uso diario</t>
        </is>
      </c>
      <c r="F10" s="7" t="inlineStr">
        <is>
          <t>Ver quién viene atrás sin darte vuelta.</t>
        </is>
      </c>
    </row>
    <row r="11">
      <c r="A11" s="7" t="inlineStr">
        <is>
          <t>Guardabarros</t>
        </is>
      </c>
      <c r="B11" s="7" t="n">
        <v>33843639</v>
      </c>
      <c r="C11" s="7" t="inlineStr">
        <is>
          <t>Bicis</t>
        </is>
      </c>
      <c r="D11" s="7" t="inlineStr">
        <is>
          <t>Completá tu equipo</t>
        </is>
      </c>
      <c r="E11" s="7" t="inlineStr">
        <is>
          <t>Uso diario</t>
        </is>
      </c>
      <c r="F11" s="7" t="inlineStr">
        <is>
          <t>Llegar seco los días de lluvia.</t>
        </is>
      </c>
    </row>
    <row r="12">
      <c r="A12" s="7" t="inlineStr">
        <is>
          <t>Pies de apoyo</t>
        </is>
      </c>
      <c r="B12" s="7" t="n">
        <v>33843770</v>
      </c>
      <c r="C12" s="7" t="inlineStr">
        <is>
          <t>Bicis</t>
        </is>
      </c>
      <c r="D12" s="7" t="inlineStr">
        <is>
          <t>Completá tu equipo</t>
        </is>
      </c>
      <c r="E12" s="7" t="inlineStr">
        <is>
          <t>Uso diario o paseo</t>
        </is>
      </c>
      <c r="F12" s="7" t="inlineStr">
        <is>
          <t>Para estacionarla parada en cualquier lado.</t>
        </is>
      </c>
    </row>
    <row r="13">
      <c r="A13" s="7" t="inlineStr">
        <is>
          <t>Soportes para bicicleta</t>
        </is>
      </c>
      <c r="B13" s="7" t="n">
        <v>30169785</v>
      </c>
      <c r="C13" s="7" t="inlineStr">
        <is>
          <t>Bicis y bicis eléctricas</t>
        </is>
      </c>
      <c r="D13" s="7" t="inlineStr">
        <is>
          <t>Completá tu equipo</t>
        </is>
      </c>
      <c r="E13" s="7" t="inlineStr">
        <is>
          <t>Poco espacio para guardar</t>
        </is>
      </c>
      <c r="F13" s="7" t="inlineStr">
        <is>
          <t>Colgala en la pared y ganá lugar en casa.</t>
        </is>
      </c>
    </row>
    <row r="14">
      <c r="A14" s="7" t="inlineStr">
        <is>
          <t>Portabicicletas para autos</t>
        </is>
      </c>
      <c r="B14" s="7" t="n">
        <v>30169770</v>
      </c>
      <c r="C14" s="7" t="inlineStr">
        <is>
          <t>Bicis</t>
        </is>
      </c>
      <c r="D14" s="7" t="inlineStr">
        <is>
          <t>Completá tu equipo</t>
        </is>
      </c>
      <c r="E14" s="7" t="inlineStr">
        <is>
          <t>Deporte / naturaleza o combina con auto</t>
        </is>
      </c>
      <c r="F14" s="7" t="inlineStr">
        <is>
          <t>Para llevarla a donde quieras salir a andar.</t>
        </is>
      </c>
    </row>
    <row r="15">
      <c r="A15" s="7" t="inlineStr">
        <is>
          <t>Computadoras</t>
        </is>
      </c>
      <c r="B15" s="7" t="n">
        <v>30170013</v>
      </c>
      <c r="C15" s="7" t="inlineStr">
        <is>
          <t>Bicis</t>
        </is>
      </c>
      <c r="D15" s="7" t="inlineStr">
        <is>
          <t>Completá tu equipo</t>
        </is>
      </c>
      <c r="E15" s="7" t="inlineStr">
        <is>
          <t>Uso deporte</t>
        </is>
      </c>
      <c r="F15" s="7" t="inlineStr">
        <is>
          <t>Velocidad, distancia y tiempo de cada salida.</t>
        </is>
      </c>
    </row>
    <row r="16">
      <c r="A16" s="7" t="inlineStr">
        <is>
          <t>Fundas para bicicleta</t>
        </is>
      </c>
      <c r="B16" s="7" t="n">
        <v>30169769</v>
      </c>
      <c r="C16" s="7" t="inlineStr">
        <is>
          <t>Bicis y bicis eléctricas</t>
        </is>
      </c>
      <c r="D16" s="7" t="inlineStr">
        <is>
          <t>Completá tu equipo</t>
        </is>
      </c>
      <c r="E16" s="7" t="inlineStr">
        <is>
          <t>Estaciona afuera o guarda en balcón</t>
        </is>
      </c>
      <c r="F16" s="7" t="inlineStr">
        <is>
          <t>La protege del sol y la lluvia.</t>
        </is>
      </c>
    </row>
    <row r="17">
      <c r="A17" s="7" t="inlineStr">
        <is>
          <t>Cargadores &gt; De bicicleta eléctrica</t>
        </is>
      </c>
      <c r="B17" s="7" t="n">
        <v>35484713</v>
      </c>
      <c r="C17" s="7" t="inlineStr">
        <is>
          <t>Bicis eléctricas</t>
        </is>
      </c>
      <c r="D17" s="7" t="inlineStr">
        <is>
          <t>Completá tu equipo</t>
        </is>
      </c>
      <c r="E17" s="7" t="inlineStr">
        <is>
          <t>Siempre</t>
        </is>
      </c>
      <c r="F17" s="7" t="inlineStr">
        <is>
          <t>Un segundo cargador para dejar en la oficina.</t>
        </is>
      </c>
    </row>
    <row r="18">
      <c r="A18" s="7" t="inlineStr">
        <is>
          <t>Cargadores &gt; De monopatín</t>
        </is>
      </c>
      <c r="B18" s="7" t="n">
        <v>35484712</v>
      </c>
      <c r="C18" s="7" t="inlineStr">
        <is>
          <t>Monopatines</t>
        </is>
      </c>
      <c r="D18" s="7" t="inlineStr">
        <is>
          <t>Completá tu equipo</t>
        </is>
      </c>
      <c r="E18" s="7" t="inlineStr">
        <is>
          <t>Siempre</t>
        </is>
      </c>
      <c r="F18" s="7" t="inlineStr">
        <is>
          <t>Un segundo cargador para dejar en la oficina.</t>
        </is>
      </c>
    </row>
    <row r="19">
      <c r="A19" s="7" t="inlineStr">
        <is>
          <t>Cargadores &gt; De moto</t>
        </is>
      </c>
      <c r="B19" s="7" t="n">
        <v>35484711</v>
      </c>
      <c r="C19" s="7" t="inlineStr">
        <is>
          <t>Motos eléctricas</t>
        </is>
      </c>
      <c r="D19" s="7" t="inlineStr">
        <is>
          <t>Completá tu equipo</t>
        </is>
      </c>
      <c r="E19" s="7" t="inlineStr">
        <is>
          <t>Siempre</t>
        </is>
      </c>
      <c r="F19" s="7" t="inlineStr">
        <is>
          <t>Un segundo cargador para cargar donde estés.</t>
        </is>
      </c>
    </row>
    <row r="20">
      <c r="A20" s="7" t="inlineStr">
        <is>
          <t>Baterías &gt; De bicicleta eléctrica</t>
        </is>
      </c>
      <c r="B20" s="7" t="n">
        <v>35485009</v>
      </c>
      <c r="C20" s="7" t="inlineStr">
        <is>
          <t>Bicis eléctricas</t>
        </is>
      </c>
      <c r="D20" s="7" t="inlineStr">
        <is>
          <t>Completá tu equipo</t>
        </is>
      </c>
      <c r="E20" s="7" t="inlineStr">
        <is>
          <t>Distancia &gt; 30 km</t>
        </is>
      </c>
      <c r="F20" s="7" t="inlineStr">
        <is>
          <t>Una batería extra duplica la autonomía.</t>
        </is>
      </c>
    </row>
    <row r="21">
      <c r="A21" s="7" t="inlineStr">
        <is>
          <t>Baterías &gt; De moto</t>
        </is>
      </c>
      <c r="B21" s="7" t="n">
        <v>35485007</v>
      </c>
      <c r="C21" s="7" t="inlineStr">
        <is>
          <t>Motos eléctricas</t>
        </is>
      </c>
      <c r="D21" s="7" t="inlineStr">
        <is>
          <t>Completá tu equipo</t>
        </is>
      </c>
      <c r="E21" s="7" t="inlineStr">
        <is>
          <t>Distancia &gt; 30 km</t>
        </is>
      </c>
      <c r="F21" s="7" t="inlineStr">
        <is>
          <t>Una batería extra duplica la autonomía.</t>
        </is>
      </c>
    </row>
    <row r="22">
      <c r="A22" s="7" t="inlineStr">
        <is>
          <t>Productos de limpieza y lubricación</t>
        </is>
      </c>
      <c r="B22" s="7" t="n">
        <v>30169774</v>
      </c>
      <c r="C22" s="7" t="inlineStr">
        <is>
          <t>Bicis y bicis eléctricas, monopatines</t>
        </is>
      </c>
      <c r="D22" s="7" t="inlineStr">
        <is>
          <t>También te puede interesar</t>
        </is>
      </c>
      <c r="E22" s="7" t="inlineStr">
        <is>
          <t>Siempre</t>
        </is>
      </c>
      <c r="F22" s="7" t="inlineStr">
        <is>
          <t>Limpia y como nueva por muchos años.</t>
        </is>
      </c>
    </row>
    <row r="23">
      <c r="A23" s="7" t="inlineStr">
        <is>
          <t>Productos de limpieza y lubricación (moto)</t>
        </is>
      </c>
      <c r="B23" s="7" t="n">
        <v>30582424</v>
      </c>
      <c r="C23" s="7" t="inlineStr">
        <is>
          <t>Motos eléctricas</t>
        </is>
      </c>
      <c r="D23" s="7" t="inlineStr">
        <is>
          <t>También te puede interesar</t>
        </is>
      </c>
      <c r="E23" s="7" t="inlineStr">
        <is>
          <t>Siempre</t>
        </is>
      </c>
      <c r="F23" s="7" t="inlineStr">
        <is>
          <t>Para que brille como el primer día.</t>
        </is>
      </c>
    </row>
    <row r="24">
      <c r="A24" s="7" t="inlineStr">
        <is>
          <t>Indumentaria &gt; Indumentaria</t>
        </is>
      </c>
      <c r="B24" s="7" t="n">
        <v>30240325</v>
      </c>
      <c r="C24" s="7" t="inlineStr">
        <is>
          <t>Bicis y bicis eléctricas</t>
        </is>
      </c>
      <c r="D24" s="7" t="inlineStr">
        <is>
          <t>También te puede interesar</t>
        </is>
      </c>
      <c r="E24" s="7" t="inlineStr">
        <is>
          <t>Siempre</t>
        </is>
      </c>
      <c r="F24" s="7" t="inlineStr">
        <is>
          <t>Ropa pensada para andar cómodo.</t>
        </is>
      </c>
    </row>
    <row r="25">
      <c r="A25" s="7" t="inlineStr">
        <is>
          <t>Indumentaria &gt; Pantalones</t>
        </is>
      </c>
      <c r="B25" s="7" t="n">
        <v>30169998</v>
      </c>
      <c r="C25" s="7" t="inlineStr">
        <is>
          <t>Bicis y bicis eléctricas</t>
        </is>
      </c>
      <c r="D25" s="7" t="inlineStr">
        <is>
          <t>También te puede interesar</t>
        </is>
      </c>
      <c r="E25" s="7" t="inlineStr">
        <is>
          <t>Uso diario o deporte</t>
        </is>
      </c>
      <c r="F25" s="7" t="inlineStr">
        <is>
          <t>Pantalones que no se enganchan en la cadena.</t>
        </is>
      </c>
    </row>
    <row r="26">
      <c r="A26" s="7" t="inlineStr">
        <is>
          <t>Indumentaria &gt; Remeras</t>
        </is>
      </c>
      <c r="B26" s="7" t="n">
        <v>30169840</v>
      </c>
      <c r="C26" s="7" t="inlineStr">
        <is>
          <t>Bicis</t>
        </is>
      </c>
      <c r="D26" s="7" t="inlineStr">
        <is>
          <t>También te puede interesar</t>
        </is>
      </c>
      <c r="E26" s="7" t="inlineStr">
        <is>
          <t>Uso deporte</t>
        </is>
      </c>
      <c r="F26" s="7" t="inlineStr">
        <is>
          <t>Técnicas, respirables y de secado rápido.</t>
        </is>
      </c>
    </row>
    <row r="27">
      <c r="A27" s="7" t="inlineStr">
        <is>
          <t>Indumentaria &gt; Zapatillas</t>
        </is>
      </c>
      <c r="B27" s="7" t="n">
        <v>30169845</v>
      </c>
      <c r="C27" s="7" t="inlineStr">
        <is>
          <t>Bicis</t>
        </is>
      </c>
      <c r="D27" s="7" t="inlineStr">
        <is>
          <t>También te puede interesar</t>
        </is>
      </c>
      <c r="E27" s="7" t="inlineStr">
        <is>
          <t>Uso deporte</t>
        </is>
      </c>
      <c r="F27" s="7" t="inlineStr">
        <is>
          <t>Más potencia en cada pedaleo.</t>
        </is>
      </c>
    </row>
    <row r="28">
      <c r="A28" s="7" t="inlineStr">
        <is>
          <t>Indumentaria &gt; Lentes</t>
        </is>
      </c>
      <c r="B28" s="7" t="n">
        <v>30169768</v>
      </c>
      <c r="C28" s="7" t="inlineStr">
        <is>
          <t>Bicis y bicis eléctricas, monopatines</t>
        </is>
      </c>
      <c r="D28" s="7" t="inlineStr">
        <is>
          <t>También te puede interesar</t>
        </is>
      </c>
      <c r="E28" s="7" t="inlineStr">
        <is>
          <t>Siempre</t>
        </is>
      </c>
      <c r="F28" s="7" t="inlineStr">
        <is>
          <t>Protegen del sol, el viento y los bichos.</t>
        </is>
      </c>
    </row>
    <row r="29">
      <c r="A29" s="7" t="inlineStr">
        <is>
          <t>Guantes &gt; Para ciclismo</t>
        </is>
      </c>
      <c r="B29" s="7" t="n">
        <v>30169781</v>
      </c>
      <c r="C29" s="7" t="inlineStr">
        <is>
          <t>Bicis y bicis eléctricas</t>
        </is>
      </c>
      <c r="D29" s="7" t="inlineStr">
        <is>
          <t>También te puede interesar</t>
        </is>
      </c>
      <c r="E29" s="7" t="inlineStr">
        <is>
          <t>Siempre</t>
        </is>
      </c>
      <c r="F29" s="7" t="inlineStr">
        <is>
          <t>Más agarre y menos cansancio en las manos.</t>
        </is>
      </c>
    </row>
    <row r="30">
      <c r="A30" s="7" t="inlineStr">
        <is>
          <t>Guantes &gt; Para moto</t>
        </is>
      </c>
      <c r="B30" s="7" t="n">
        <v>30247745</v>
      </c>
      <c r="C30" s="7" t="inlineStr">
        <is>
          <t>Motos eléctricas</t>
        </is>
      </c>
      <c r="D30" s="7" t="inlineStr">
        <is>
          <t>También te puede interesar</t>
        </is>
      </c>
      <c r="E30" s="7" t="inlineStr">
        <is>
          <t>Siempre</t>
        </is>
      </c>
      <c r="F30" s="7" t="inlineStr">
        <is>
          <t>Protección y agarre.</t>
        </is>
      </c>
    </row>
    <row r="31">
      <c r="A31" s="7" t="inlineStr">
        <is>
          <t>Navegadores e intercomunicadores</t>
        </is>
      </c>
      <c r="B31" s="7" t="n">
        <v>30170014</v>
      </c>
      <c r="C31" s="7" t="inlineStr">
        <is>
          <t>Motos eléctricas</t>
        </is>
      </c>
      <c r="D31" s="7" t="inlineStr">
        <is>
          <t>También te puede interesar</t>
        </is>
      </c>
      <c r="E31" s="7" t="inlineStr">
        <is>
          <t>Siempre</t>
        </is>
      </c>
      <c r="F31" s="7" t="inlineStr">
        <is>
          <t>Hablá, escuchá música y seguí el GPS con el casco puesto.</t>
        </is>
      </c>
    </row>
    <row r="32">
      <c r="A32" s="7" t="inlineStr">
        <is>
          <t>Luces &gt; Para casco de moto</t>
        </is>
      </c>
      <c r="B32" s="7" t="n">
        <v>33488999</v>
      </c>
      <c r="C32" s="7" t="inlineStr">
        <is>
          <t>Motos eléctricas</t>
        </is>
      </c>
      <c r="D32" s="7" t="inlineStr">
        <is>
          <t>También te puede interesar</t>
        </is>
      </c>
      <c r="E32" s="7" t="inlineStr">
        <is>
          <t>Circula de noche</t>
        </is>
      </c>
      <c r="F32" s="7" t="inlineStr">
        <is>
          <t>Más visible de noche, a la altura de los ojos de los autos.</t>
        </is>
      </c>
    </row>
    <row r="33">
      <c r="A33" s="7" t="inlineStr">
        <is>
          <t>Cubre asientos para moto</t>
        </is>
      </c>
      <c r="B33" s="7" t="n">
        <v>30170029</v>
      </c>
      <c r="C33" s="7" t="inlineStr">
        <is>
          <t>Motos eléctricas</t>
        </is>
      </c>
      <c r="D33" s="7" t="inlineStr">
        <is>
          <t>También te puede interesar</t>
        </is>
      </c>
      <c r="E33" s="7" t="inlineStr">
        <is>
          <t>Estaciona en la calle</t>
        </is>
      </c>
      <c r="F33" s="7" t="inlineStr">
        <is>
          <t>Asiento seco y fresco aunque quede al sol.</t>
        </is>
      </c>
    </row>
    <row r="34">
      <c r="A34" s="7" t="inlineStr">
        <is>
          <t>Fundas de asiento</t>
        </is>
      </c>
      <c r="B34" s="7" t="n">
        <v>30169780</v>
      </c>
      <c r="C34" s="7" t="inlineStr">
        <is>
          <t>Bicis y bicis eléctricas</t>
        </is>
      </c>
      <c r="D34" s="7" t="inlineStr">
        <is>
          <t>También te puede interesar</t>
        </is>
      </c>
      <c r="E34" s="7" t="inlineStr">
        <is>
          <t>Uso paseo o diario</t>
        </is>
      </c>
      <c r="F34" s="7" t="inlineStr">
        <is>
          <t>Más comodidad en el asiento.</t>
        </is>
      </c>
    </row>
    <row r="35">
      <c r="A35" s="7" t="inlineStr">
        <is>
          <t>Cubre puños de manubrio</t>
        </is>
      </c>
      <c r="B35" s="7" t="n">
        <v>30170032</v>
      </c>
      <c r="C35" s="7" t="inlineStr">
        <is>
          <t>Bicis y bicis eléctricas, monopatines</t>
        </is>
      </c>
      <c r="D35" s="7" t="inlineStr">
        <is>
          <t>También te puede interesar</t>
        </is>
      </c>
      <c r="E35" s="7" t="inlineStr">
        <is>
          <t>Siempre</t>
        </is>
      </c>
      <c r="F35" s="7" t="inlineStr">
        <is>
          <t>Manos abrigadas en invierno.</t>
        </is>
      </c>
    </row>
    <row r="36">
      <c r="A36" s="7" t="inlineStr">
        <is>
          <t>Mochilas, alforjas y morrales</t>
        </is>
      </c>
      <c r="B36" s="7" t="n">
        <v>33844521</v>
      </c>
      <c r="C36" s="7" t="inlineStr">
        <is>
          <t>Todos</t>
        </is>
      </c>
      <c r="D36" s="7" t="inlineStr">
        <is>
          <t>También te puede interesar</t>
        </is>
      </c>
      <c r="E36" s="7" t="inlineStr">
        <is>
          <t>Siempre</t>
        </is>
      </c>
      <c r="F36" s="7" t="inlineStr">
        <is>
          <t>Para llevar todo cómodo.</t>
        </is>
      </c>
    </row>
    <row r="37">
      <c r="A37" s="7" t="inlineStr">
        <is>
          <t>Caramañolas, botellas y soportes</t>
        </is>
      </c>
      <c r="B37" s="7" t="n">
        <v>30169771</v>
      </c>
      <c r="C37" s="7" t="inlineStr">
        <is>
          <t>Bicis y bicis eléctricas</t>
        </is>
      </c>
      <c r="D37" s="7" t="inlineStr">
        <is>
          <t>También te puede interesar</t>
        </is>
      </c>
      <c r="E37" s="7" t="inlineStr">
        <is>
          <t>Siempre</t>
        </is>
      </c>
      <c r="F37" s="7" t="inlineStr">
        <is>
          <t>Hidratación a mano.</t>
        </is>
      </c>
    </row>
    <row r="38">
      <c r="A38" s="7" t="inlineStr">
        <is>
          <t>Stickers y logos</t>
        </is>
      </c>
      <c r="B38" s="7" t="n">
        <v>30169800</v>
      </c>
      <c r="C38" s="7" t="inlineStr">
        <is>
          <t>Todos</t>
        </is>
      </c>
      <c r="D38" s="7" t="inlineStr">
        <is>
          <t>También te puede interesar</t>
        </is>
      </c>
      <c r="E38" s="7" t="inlineStr">
        <is>
          <t>Siempre</t>
        </is>
      </c>
      <c r="F38" s="7" t="inlineStr">
        <is>
          <t>Hacela tuya.</t>
        </is>
      </c>
    </row>
    <row r="39">
      <c r="A39" s="7" t="inlineStr">
        <is>
          <t>Adaptadores KLICKFix</t>
        </is>
      </c>
      <c r="B39" s="7" t="n">
        <v>30169777</v>
      </c>
      <c r="C39" s="7" t="inlineStr">
        <is>
          <t>Bicis y bicis eléctricas</t>
        </is>
      </c>
      <c r="D39" s="7" t="inlineStr">
        <is>
          <t>También te puede interesar</t>
        </is>
      </c>
      <c r="E39" s="7" t="inlineStr">
        <is>
          <t>Siempre</t>
        </is>
      </c>
      <c r="F39" s="7" t="inlineStr">
        <is>
          <t>Poné y sacá canastos y bolsos en un clic.</t>
        </is>
      </c>
    </row>
    <row r="40">
      <c r="A40" s="7" t="inlineStr">
        <is>
          <t>Entrenadores y rodillos</t>
        </is>
      </c>
      <c r="B40" s="7" t="n">
        <v>30169782</v>
      </c>
      <c r="C40" s="7" t="inlineStr">
        <is>
          <t>Bicis</t>
        </is>
      </c>
      <c r="D40" s="7" t="inlineStr">
        <is>
          <t>También te puede interesar</t>
        </is>
      </c>
      <c r="E40" s="7" t="inlineStr">
        <is>
          <t>Uso deporte</t>
        </is>
      </c>
      <c r="F40" s="7" t="inlineStr">
        <is>
          <t>Seguí entrenando los días de lluvia.</t>
        </is>
      </c>
    </row>
    <row r="41">
      <c r="A41" s="7" t="inlineStr">
        <is>
          <t>Sillas para niños &gt; Accesorios y repuestos</t>
        </is>
      </c>
      <c r="B41" s="7" t="n">
        <v>39455628</v>
      </c>
      <c r="C41" s="7" t="inlineStr">
        <is>
          <t>Bicis y bicis eléctricas</t>
        </is>
      </c>
      <c r="D41" s="7" t="inlineStr">
        <is>
          <t>También te puede interesar</t>
        </is>
      </c>
      <c r="E41" s="7" t="inlineStr">
        <is>
          <t>Llevar a los chicos</t>
        </is>
      </c>
      <c r="F41" s="7" t="inlineStr">
        <is>
          <t>Accesorios para la silla.</t>
        </is>
      </c>
    </row>
    <row r="42">
      <c r="A42" s="7" t="inlineStr">
        <is>
          <t>Trailers</t>
        </is>
      </c>
      <c r="B42" s="7" t="n">
        <v>30153548</v>
      </c>
      <c r="C42" s="7" t="inlineStr">
        <is>
          <t>Bicis</t>
        </is>
      </c>
      <c r="D42" s="7" t="inlineStr">
        <is>
          <t>También te puede interesar</t>
        </is>
      </c>
      <c r="E42" s="7" t="inlineStr">
        <is>
          <t>Llevar a los chicos o carga</t>
        </is>
      </c>
      <c r="F42" s="7" t="inlineStr">
        <is>
          <t>Llevá a los chicos o la carga en un trailer.</t>
        </is>
      </c>
    </row>
    <row r="43">
      <c r="A43" s="7" t="inlineStr">
        <is>
          <t>Vehículos para niños</t>
        </is>
      </c>
      <c r="B43" s="7" t="n">
        <v>30153643</v>
      </c>
      <c r="C43" s="7" t="inlineStr">
        <is>
          <t>Todos</t>
        </is>
      </c>
      <c r="D43" s="7" t="inlineStr">
        <is>
          <t>También te puede interesar</t>
        </is>
      </c>
      <c r="E43" s="7" t="inlineStr">
        <is>
          <t>Llevar a los chicos</t>
        </is>
      </c>
      <c r="F43" s="7" t="inlineStr">
        <is>
          <t>¿Y para los chicos? Que salgan a andar con vos.</t>
        </is>
      </c>
    </row>
    <row r="44">
      <c r="A44" s="7" t="inlineStr">
        <is>
          <t>Usados seleccionados</t>
        </is>
      </c>
      <c r="B44" s="7" t="n">
        <v>30154204</v>
      </c>
      <c r="C44" s="7" t="inlineStr">
        <is>
          <t>Todos</t>
        </is>
      </c>
      <c r="D44" s="7" t="inlineStr">
        <is>
          <t>También te puede interesar</t>
        </is>
      </c>
      <c r="E44" s="7" t="inlineStr">
        <is>
          <t>Presupuesto justo</t>
        </is>
      </c>
      <c r="F44" s="7" t="inlineStr">
        <is>
          <t>Usados revisados, más accesibles.</t>
        </is>
      </c>
    </row>
    <row r="45">
      <c r="A45" s="7" t="inlineStr">
        <is>
          <t>Cubiertas</t>
        </is>
      </c>
      <c r="B45" s="7" t="n">
        <v>33843542</v>
      </c>
      <c r="C45" s="7" t="inlineStr">
        <is>
          <t>Bicis</t>
        </is>
      </c>
      <c r="D45" s="7" t="inlineStr">
        <is>
          <t>Para más adelante</t>
        </is>
      </c>
      <c r="E45" s="7" t="inlineStr">
        <is>
          <t>Siempre</t>
        </is>
      </c>
      <c r="F45" s="7" t="inlineStr">
        <is>
          <t>Cuando gastes las cubiertas, las tenemos.</t>
        </is>
      </c>
    </row>
    <row r="46">
      <c r="A46" s="7" t="inlineStr">
        <is>
          <t>Puños y cintas para manubrio</t>
        </is>
      </c>
      <c r="B46" s="7" t="n">
        <v>33843559</v>
      </c>
      <c r="C46" s="7" t="inlineStr">
        <is>
          <t>Bicis</t>
        </is>
      </c>
      <c r="D46" s="7" t="inlineStr">
        <is>
          <t>Para más adelante</t>
        </is>
      </c>
      <c r="E46" s="7" t="inlineStr">
        <is>
          <t>Siempre</t>
        </is>
      </c>
      <c r="F46" s="7" t="inlineStr">
        <is>
          <t>Puños ergonómicos: menos hormigueo en las manos.</t>
        </is>
      </c>
    </row>
    <row r="47">
      <c r="A47" s="7" t="inlineStr">
        <is>
          <t>Asientos y accesorios</t>
        </is>
      </c>
      <c r="B47" s="7" t="n">
        <v>33843551</v>
      </c>
      <c r="C47" s="7" t="inlineStr">
        <is>
          <t>Bicis</t>
        </is>
      </c>
      <c r="D47" s="7" t="inlineStr">
        <is>
          <t>Para más adelante</t>
        </is>
      </c>
      <c r="E47" s="7" t="inlineStr">
        <is>
          <t>Uso paseo o distancia &gt; 15 km</t>
        </is>
      </c>
      <c r="F47" s="7" t="inlineStr">
        <is>
          <t>Un buen asiento cambia todo en las salidas largas.</t>
        </is>
      </c>
    </row>
    <row r="48">
      <c r="A48" s="7" t="inlineStr">
        <is>
          <t>Pedales y accesorios</t>
        </is>
      </c>
      <c r="B48" s="7" t="n">
        <v>33843555</v>
      </c>
      <c r="C48" s="7" t="inlineStr">
        <is>
          <t>Bicis</t>
        </is>
      </c>
      <c r="D48" s="7" t="inlineStr">
        <is>
          <t>Para más adelante</t>
        </is>
      </c>
      <c r="E48" s="7" t="inlineStr">
        <is>
          <t>Siempre</t>
        </is>
      </c>
      <c r="F48" s="7" t="inlineStr">
        <is>
          <t>Pedales con más agarre.</t>
        </is>
      </c>
    </row>
    <row r="49">
      <c r="A49" s="7" t="inlineStr">
        <is>
          <t>Repuestos para bicicleta eléctrica</t>
        </is>
      </c>
      <c r="B49" s="7" t="n">
        <v>35505626</v>
      </c>
      <c r="C49" s="7" t="inlineStr">
        <is>
          <t>Bicis eléctricas</t>
        </is>
      </c>
      <c r="D49" s="7" t="inlineStr">
        <is>
          <t>Para más adelante</t>
        </is>
      </c>
      <c r="E49" s="7" t="inlineStr">
        <is>
          <t>Siempre</t>
        </is>
      </c>
      <c r="F49" s="7" t="inlineStr">
        <is>
          <t>Repuestos originales cuando los necesites.</t>
        </is>
      </c>
    </row>
    <row r="50">
      <c r="A50" s="7" t="inlineStr">
        <is>
          <t>Repuestos para monopatines</t>
        </is>
      </c>
      <c r="B50" s="7" t="n">
        <v>30753392</v>
      </c>
      <c r="C50" s="7" t="inlineStr">
        <is>
          <t>Monopatines</t>
        </is>
      </c>
      <c r="D50" s="7" t="inlineStr">
        <is>
          <t>Para más adelante</t>
        </is>
      </c>
      <c r="E50" s="7" t="inlineStr">
        <is>
          <t>Siempre</t>
        </is>
      </c>
      <c r="F50" s="7" t="inlineStr">
        <is>
          <t>Repuestos originales cuando los necesites.</t>
        </is>
      </c>
    </row>
    <row r="51">
      <c r="A51" s="7" t="inlineStr">
        <is>
          <t>Repuestos para motos</t>
        </is>
      </c>
      <c r="B51" s="7" t="n">
        <v>30753379</v>
      </c>
      <c r="C51" s="7" t="inlineStr">
        <is>
          <t>Motos eléctricas</t>
        </is>
      </c>
      <c r="D51" s="7" t="inlineStr">
        <is>
          <t>Para más adelante</t>
        </is>
      </c>
      <c r="E51" s="7" t="inlineStr">
        <is>
          <t>Siempre</t>
        </is>
      </c>
      <c r="F51" s="7" t="inlineStr">
        <is>
          <t>Repuestos originales cuando los necesites.</t>
        </is>
      </c>
    </row>
    <row r="52">
      <c r="A52" s="7" t="inlineStr">
        <is>
          <t>Resto de 'Componentes de bicicleta' (aros, cadenas, cambios, frenos, etc.)</t>
        </is>
      </c>
      <c r="B52" s="7" t="n">
        <v>33843997</v>
      </c>
      <c r="C52" s="7" t="inlineStr">
        <is>
          <t>Bicis</t>
        </is>
      </c>
      <c r="D52" s="7" t="inlineStr">
        <is>
          <t>Para más adelante</t>
        </is>
      </c>
      <c r="E52" s="7" t="inlineStr">
        <is>
          <t>Siempre</t>
        </is>
      </c>
      <c r="F52" s="7" t="inlineStr">
        <is>
          <t>Todo para mantenerla y mejorarla.</t>
        </is>
      </c>
    </row>
    <row r="54">
      <c r="A54" s="11" t="inlineStr">
        <is>
          <t>Regla de rotación: en cada visita se elige 1 producto con stock por categoría, alternando entre visitas (los menos mostrados primero), para que TODO el catálogo tenga exposición. 'Prioridad' en Productos puede fijar uno.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18" customWidth="1" min="3" max="3"/>
    <col width="18" customWidth="1" min="4" max="4"/>
    <col width="13" customWidth="1" min="5" max="5"/>
    <col width="13" customWidth="1" min="6" max="6"/>
    <col width="34" customWidth="1" min="7" max="7"/>
    <col width="22" customWidth="1" min="8" max="8"/>
    <col width="18" customWidth="1" min="9" max="9"/>
  </cols>
  <sheetData>
    <row r="1" ht="34" customHeight="1">
      <c r="A1" s="6" t="inlineStr">
        <is>
          <t>ID Tiendanube</t>
        </is>
      </c>
      <c r="B1" s="6" t="inlineStr">
        <is>
          <t>Producto</t>
        </is>
      </c>
      <c r="C1" s="6" t="inlineStr">
        <is>
          <t>Marca</t>
        </is>
      </c>
      <c r="D1" s="6" t="inlineStr">
        <is>
          <t>Talle (como está en TN)</t>
        </is>
      </c>
      <c r="E1" s="6" t="inlineStr">
        <is>
          <t>Altura desde (cm)</t>
        </is>
      </c>
      <c r="F1" s="6" t="inlineStr">
        <is>
          <t>Altura hasta (cm)</t>
        </is>
      </c>
      <c r="G1" s="6" t="inlineStr">
        <is>
          <t>Fuente</t>
        </is>
      </c>
      <c r="H1" s="6" t="inlineStr">
        <is>
          <t>Estado</t>
        </is>
      </c>
      <c r="I1" s="6" t="inlineStr">
        <is>
          <t>¿La descripción en TN ya lo tiene?</t>
        </is>
      </c>
    </row>
    <row r="2">
      <c r="A2" t="n">
        <v>283613255</v>
      </c>
      <c r="B2" t="inlineStr">
        <is>
          <t>Kentfield 1</t>
        </is>
      </c>
      <c r="C2" t="inlineStr">
        <is>
          <t>Marin</t>
        </is>
      </c>
      <c r="D2" t="inlineStr">
        <is>
          <t>S</t>
        </is>
      </c>
      <c r="E2" s="9" t="n">
        <v>157</v>
      </c>
      <c r="F2" s="9" t="n">
        <v>170</v>
      </c>
      <c r="G2" t="inlineStr">
        <is>
          <t>Guía Marin 2022 (PDF)</t>
        </is>
      </c>
      <c r="H2" s="9" t="inlineStr">
        <is>
          <t>Completo</t>
        </is>
      </c>
      <c r="I2" t="inlineStr">
        <is>
          <t>A verificar</t>
        </is>
      </c>
    </row>
    <row r="3">
      <c r="A3" t="n">
        <v>283613255</v>
      </c>
      <c r="B3" t="inlineStr">
        <is>
          <t>Kentfield 1</t>
        </is>
      </c>
      <c r="C3" t="inlineStr">
        <is>
          <t>Marin</t>
        </is>
      </c>
      <c r="D3" t="inlineStr">
        <is>
          <t>M</t>
        </is>
      </c>
      <c r="E3" s="9" t="n">
        <v>168</v>
      </c>
      <c r="F3" s="9" t="n">
        <v>178</v>
      </c>
      <c r="G3" t="inlineStr">
        <is>
          <t>Guía Marin 2022 (PDF)</t>
        </is>
      </c>
      <c r="H3" s="9" t="inlineStr">
        <is>
          <t>Completo</t>
        </is>
      </c>
      <c r="I3" t="inlineStr">
        <is>
          <t>A verificar</t>
        </is>
      </c>
    </row>
    <row r="4">
      <c r="A4" t="n">
        <v>283613255</v>
      </c>
      <c r="B4" t="inlineStr">
        <is>
          <t>Kentfield 1</t>
        </is>
      </c>
      <c r="C4" t="inlineStr">
        <is>
          <t>Marin</t>
        </is>
      </c>
      <c r="D4" t="inlineStr">
        <is>
          <t>L</t>
        </is>
      </c>
      <c r="E4" s="9" t="n">
        <v>175</v>
      </c>
      <c r="F4" s="9" t="n">
        <v>188</v>
      </c>
      <c r="G4" t="inlineStr">
        <is>
          <t>Guía Marin 2022 (PDF)</t>
        </is>
      </c>
      <c r="H4" s="9" t="inlineStr">
        <is>
          <t>Completo</t>
        </is>
      </c>
      <c r="I4" t="inlineStr">
        <is>
          <t>A verificar</t>
        </is>
      </c>
    </row>
    <row r="5">
      <c r="A5" t="n">
        <v>283613255</v>
      </c>
      <c r="B5" t="inlineStr">
        <is>
          <t>Kentfield 1</t>
        </is>
      </c>
      <c r="C5" t="inlineStr">
        <is>
          <t>Marin</t>
        </is>
      </c>
      <c r="D5" t="inlineStr">
        <is>
          <t>XL</t>
        </is>
      </c>
      <c r="E5" s="9" t="n">
        <v>185</v>
      </c>
      <c r="F5" s="9" t="n">
        <v>196</v>
      </c>
      <c r="G5" t="inlineStr">
        <is>
          <t>Guía Marin 2022 (PDF)</t>
        </is>
      </c>
      <c r="H5" s="9" t="inlineStr">
        <is>
          <t>Completo</t>
        </is>
      </c>
      <c r="I5" t="inlineStr">
        <is>
          <t>A verificar</t>
        </is>
      </c>
    </row>
    <row r="6">
      <c r="A6" t="n">
        <v>284254494</v>
      </c>
      <c r="B6" t="inlineStr">
        <is>
          <t>Kentfield 2</t>
        </is>
      </c>
      <c r="C6" t="inlineStr">
        <is>
          <t>Marin</t>
        </is>
      </c>
      <c r="D6" t="inlineStr">
        <is>
          <t>S</t>
        </is>
      </c>
      <c r="E6" s="9" t="n">
        <v>157</v>
      </c>
      <c r="F6" s="9" t="n">
        <v>170</v>
      </c>
      <c r="G6" t="inlineStr">
        <is>
          <t>Guía Marin 2022 (PDF)</t>
        </is>
      </c>
      <c r="H6" s="9" t="inlineStr">
        <is>
          <t>Completo</t>
        </is>
      </c>
      <c r="I6" t="inlineStr">
        <is>
          <t>A verificar</t>
        </is>
      </c>
    </row>
    <row r="7">
      <c r="A7" t="n">
        <v>284254494</v>
      </c>
      <c r="B7" t="inlineStr">
        <is>
          <t>Kentfield 2</t>
        </is>
      </c>
      <c r="C7" t="inlineStr">
        <is>
          <t>Marin</t>
        </is>
      </c>
      <c r="D7" t="inlineStr">
        <is>
          <t>M</t>
        </is>
      </c>
      <c r="E7" s="9" t="n">
        <v>168</v>
      </c>
      <c r="F7" s="9" t="n">
        <v>178</v>
      </c>
      <c r="G7" t="inlineStr">
        <is>
          <t>Guía Marin 2022 (PDF)</t>
        </is>
      </c>
      <c r="H7" s="9" t="inlineStr">
        <is>
          <t>Completo</t>
        </is>
      </c>
      <c r="I7" t="inlineStr">
        <is>
          <t>A verificar</t>
        </is>
      </c>
    </row>
    <row r="8">
      <c r="A8" t="n">
        <v>284254494</v>
      </c>
      <c r="B8" t="inlineStr">
        <is>
          <t>Kentfield 2</t>
        </is>
      </c>
      <c r="C8" t="inlineStr">
        <is>
          <t>Marin</t>
        </is>
      </c>
      <c r="D8" t="inlineStr">
        <is>
          <t>L</t>
        </is>
      </c>
      <c r="E8" s="9" t="n">
        <v>175</v>
      </c>
      <c r="F8" s="9" t="n">
        <v>188</v>
      </c>
      <c r="G8" t="inlineStr">
        <is>
          <t>Guía Marin 2022 (PDF)</t>
        </is>
      </c>
      <c r="H8" s="9" t="inlineStr">
        <is>
          <t>Completo</t>
        </is>
      </c>
      <c r="I8" t="inlineStr">
        <is>
          <t>A verificar</t>
        </is>
      </c>
    </row>
    <row r="9">
      <c r="A9" t="n">
        <v>284254494</v>
      </c>
      <c r="B9" t="inlineStr">
        <is>
          <t>Kentfield 2</t>
        </is>
      </c>
      <c r="C9" t="inlineStr">
        <is>
          <t>Marin</t>
        </is>
      </c>
      <c r="D9" t="inlineStr">
        <is>
          <t>XL</t>
        </is>
      </c>
      <c r="E9" s="9" t="n">
        <v>185</v>
      </c>
      <c r="F9" s="9" t="n">
        <v>196</v>
      </c>
      <c r="G9" t="inlineStr">
        <is>
          <t>Guía Marin 2022 (PDF)</t>
        </is>
      </c>
      <c r="H9" s="9" t="inlineStr">
        <is>
          <t>Completo</t>
        </is>
      </c>
      <c r="I9" t="inlineStr">
        <is>
          <t>A verificar</t>
        </is>
      </c>
    </row>
    <row r="10">
      <c r="A10" t="n">
        <v>350940557</v>
      </c>
      <c r="B10" t="inlineStr">
        <is>
          <t>Kentfield 3</t>
        </is>
      </c>
      <c r="C10" t="inlineStr">
        <is>
          <t>Marin</t>
        </is>
      </c>
      <c r="D10" t="inlineStr">
        <is>
          <t>S</t>
        </is>
      </c>
      <c r="E10" s="9" t="n">
        <v>157</v>
      </c>
      <c r="F10" s="9" t="n">
        <v>170</v>
      </c>
      <c r="G10" t="inlineStr">
        <is>
          <t>Guía Marin 2022 (PDF)</t>
        </is>
      </c>
      <c r="H10" s="9" t="inlineStr">
        <is>
          <t>Completo</t>
        </is>
      </c>
      <c r="I10" t="inlineStr">
        <is>
          <t>A verificar</t>
        </is>
      </c>
    </row>
    <row r="11">
      <c r="A11" t="n">
        <v>350940557</v>
      </c>
      <c r="B11" t="inlineStr">
        <is>
          <t>Kentfield 3</t>
        </is>
      </c>
      <c r="C11" t="inlineStr">
        <is>
          <t>Marin</t>
        </is>
      </c>
      <c r="D11" t="inlineStr">
        <is>
          <t>M</t>
        </is>
      </c>
      <c r="E11" s="9" t="n">
        <v>168</v>
      </c>
      <c r="F11" s="9" t="n">
        <v>178</v>
      </c>
      <c r="G11" t="inlineStr">
        <is>
          <t>Guía Marin 2022 (PDF)</t>
        </is>
      </c>
      <c r="H11" s="9" t="inlineStr">
        <is>
          <t>Completo</t>
        </is>
      </c>
      <c r="I11" t="inlineStr">
        <is>
          <t>A verificar</t>
        </is>
      </c>
    </row>
    <row r="12">
      <c r="A12" t="n">
        <v>350940557</v>
      </c>
      <c r="B12" t="inlineStr">
        <is>
          <t>Kentfield 3</t>
        </is>
      </c>
      <c r="C12" t="inlineStr">
        <is>
          <t>Marin</t>
        </is>
      </c>
      <c r="D12" t="inlineStr">
        <is>
          <t>L</t>
        </is>
      </c>
      <c r="E12" s="9" t="n">
        <v>175</v>
      </c>
      <c r="F12" s="9" t="n">
        <v>188</v>
      </c>
      <c r="G12" t="inlineStr">
        <is>
          <t>Guía Marin 2022 (PDF)</t>
        </is>
      </c>
      <c r="H12" s="9" t="inlineStr">
        <is>
          <t>Completo</t>
        </is>
      </c>
      <c r="I12" t="inlineStr">
        <is>
          <t>A verificar</t>
        </is>
      </c>
    </row>
    <row r="13">
      <c r="A13" t="n">
        <v>350940557</v>
      </c>
      <c r="B13" t="inlineStr">
        <is>
          <t>Kentfield 3</t>
        </is>
      </c>
      <c r="C13" t="inlineStr">
        <is>
          <t>Marin</t>
        </is>
      </c>
      <c r="D13" t="inlineStr">
        <is>
          <t>XL</t>
        </is>
      </c>
      <c r="E13" s="9" t="n">
        <v>185</v>
      </c>
      <c r="F13" s="9" t="n">
        <v>196</v>
      </c>
      <c r="G13" t="inlineStr">
        <is>
          <t>Guía Marin 2022 (PDF)</t>
        </is>
      </c>
      <c r="H13" s="9" t="inlineStr">
        <is>
          <t>Completo</t>
        </is>
      </c>
      <c r="I13" t="inlineStr">
        <is>
          <t>A verificar</t>
        </is>
      </c>
    </row>
    <row r="14">
      <c r="A14" t="n">
        <v>350940977</v>
      </c>
      <c r="B14" t="inlineStr">
        <is>
          <t>Kentfield 1 ST (caño bajo)</t>
        </is>
      </c>
      <c r="C14" t="inlineStr">
        <is>
          <t>Marin</t>
        </is>
      </c>
      <c r="D14" t="inlineStr">
        <is>
          <t>S</t>
        </is>
      </c>
      <c r="E14" s="10" t="n">
        <v>157</v>
      </c>
      <c r="F14" s="10" t="n">
        <v>170</v>
      </c>
      <c r="G14" t="inlineStr">
        <is>
          <t>Guía Marin 2022 (PDF)</t>
        </is>
      </c>
      <c r="H14" s="10" t="inlineStr">
        <is>
          <t>Estimado: guía de Kentfield (sin ST)</t>
        </is>
      </c>
      <c r="I14" t="inlineStr">
        <is>
          <t>A verificar</t>
        </is>
      </c>
    </row>
    <row r="15">
      <c r="A15" t="n">
        <v>350940977</v>
      </c>
      <c r="B15" t="inlineStr">
        <is>
          <t>Kentfield 1 ST (caño bajo)</t>
        </is>
      </c>
      <c r="C15" t="inlineStr">
        <is>
          <t>Marin</t>
        </is>
      </c>
      <c r="D15" t="inlineStr">
        <is>
          <t>M</t>
        </is>
      </c>
      <c r="E15" s="10" t="n">
        <v>168</v>
      </c>
      <c r="F15" s="10" t="n">
        <v>178</v>
      </c>
      <c r="G15" t="inlineStr">
        <is>
          <t>Guía Marin 2022 (PDF)</t>
        </is>
      </c>
      <c r="H15" s="10" t="inlineStr">
        <is>
          <t>Estimado: guía de Kentfield (sin ST)</t>
        </is>
      </c>
      <c r="I15" t="inlineStr">
        <is>
          <t>A verificar</t>
        </is>
      </c>
    </row>
    <row r="16">
      <c r="A16" t="n">
        <v>350940977</v>
      </c>
      <c r="B16" t="inlineStr">
        <is>
          <t>Kentfield 1 ST (caño bajo)</t>
        </is>
      </c>
      <c r="C16" t="inlineStr">
        <is>
          <t>Marin</t>
        </is>
      </c>
      <c r="D16" t="inlineStr">
        <is>
          <t>L</t>
        </is>
      </c>
      <c r="E16" s="10" t="n">
        <v>175</v>
      </c>
      <c r="F16" s="10" t="n">
        <v>188</v>
      </c>
      <c r="G16" t="inlineStr">
        <is>
          <t>Guía Marin 2022 (PDF)</t>
        </is>
      </c>
      <c r="H16" s="10" t="inlineStr">
        <is>
          <t>Estimado: guía de Kentfield (sin ST)</t>
        </is>
      </c>
      <c r="I16" t="inlineStr">
        <is>
          <t>A verificar</t>
        </is>
      </c>
    </row>
    <row r="17">
      <c r="A17" t="n">
        <v>284230738</v>
      </c>
      <c r="B17" t="inlineStr">
        <is>
          <t>Fairfax 1 (2025)</t>
        </is>
      </c>
      <c r="C17" t="inlineStr">
        <is>
          <t>Marin</t>
        </is>
      </c>
      <c r="D17" t="inlineStr">
        <is>
          <t>S</t>
        </is>
      </c>
      <c r="E17" s="9" t="n">
        <v>155</v>
      </c>
      <c r="F17" s="9" t="n">
        <v>168</v>
      </c>
      <c r="G17" t="inlineStr">
        <is>
          <t>Guía Marin 2022 (PDF)</t>
        </is>
      </c>
      <c r="H17" s="9" t="inlineStr">
        <is>
          <t>Completo</t>
        </is>
      </c>
      <c r="I17" t="inlineStr">
        <is>
          <t>A verificar</t>
        </is>
      </c>
    </row>
    <row r="18">
      <c r="A18" t="n">
        <v>284230738</v>
      </c>
      <c r="B18" t="inlineStr">
        <is>
          <t>Fairfax 1 (2025)</t>
        </is>
      </c>
      <c r="C18" t="inlineStr">
        <is>
          <t>Marin</t>
        </is>
      </c>
      <c r="D18" t="inlineStr">
        <is>
          <t>M</t>
        </is>
      </c>
      <c r="E18" s="9" t="n">
        <v>165</v>
      </c>
      <c r="F18" s="9" t="n">
        <v>178</v>
      </c>
      <c r="G18" t="inlineStr">
        <is>
          <t>Guía Marin 2022 (PDF)</t>
        </is>
      </c>
      <c r="H18" s="9" t="inlineStr">
        <is>
          <t>Completo</t>
        </is>
      </c>
      <c r="I18" t="inlineStr">
        <is>
          <t>A verificar</t>
        </is>
      </c>
    </row>
    <row r="19">
      <c r="A19" t="n">
        <v>284230738</v>
      </c>
      <c r="B19" t="inlineStr">
        <is>
          <t>Fairfax 1 (2025)</t>
        </is>
      </c>
      <c r="C19" t="inlineStr">
        <is>
          <t>Marin</t>
        </is>
      </c>
      <c r="D19" t="inlineStr">
        <is>
          <t>L</t>
        </is>
      </c>
      <c r="E19" s="9" t="n">
        <v>175</v>
      </c>
      <c r="F19" s="9" t="n">
        <v>188</v>
      </c>
      <c r="G19" t="inlineStr">
        <is>
          <t>Guía Marin 2022 (PDF)</t>
        </is>
      </c>
      <c r="H19" s="9" t="inlineStr">
        <is>
          <t>Completo</t>
        </is>
      </c>
      <c r="I19" t="inlineStr">
        <is>
          <t>A verificar</t>
        </is>
      </c>
    </row>
    <row r="20">
      <c r="A20" t="n">
        <v>284230738</v>
      </c>
      <c r="B20" t="inlineStr">
        <is>
          <t>Fairfax 1 (2025)</t>
        </is>
      </c>
      <c r="C20" t="inlineStr">
        <is>
          <t>Marin</t>
        </is>
      </c>
      <c r="D20" t="inlineStr">
        <is>
          <t>XL</t>
        </is>
      </c>
      <c r="E20" s="9" t="n">
        <v>185</v>
      </c>
      <c r="F20" s="9" t="n">
        <v>193</v>
      </c>
      <c r="G20" t="inlineStr">
        <is>
          <t>Guía Marin 2022 (PDF)</t>
        </is>
      </c>
      <c r="H20" s="9" t="inlineStr">
        <is>
          <t>Completo</t>
        </is>
      </c>
      <c r="I20" t="inlineStr">
        <is>
          <t>A verificar</t>
        </is>
      </c>
    </row>
    <row r="21">
      <c r="A21" t="n">
        <v>350941779</v>
      </c>
      <c r="B21" t="inlineStr">
        <is>
          <t>Fairfax 1 ST (caño bajo)</t>
        </is>
      </c>
      <c r="C21" t="inlineStr">
        <is>
          <t>Marin</t>
        </is>
      </c>
      <c r="D21" t="inlineStr">
        <is>
          <t>S</t>
        </is>
      </c>
      <c r="E21" s="10" t="n">
        <v>155</v>
      </c>
      <c r="F21" s="10" t="n">
        <v>168</v>
      </c>
      <c r="G21" t="inlineStr">
        <is>
          <t>Guía Marin 2022 (PDF)</t>
        </is>
      </c>
      <c r="H21" s="10" t="inlineStr">
        <is>
          <t>Estimado: guía de Fairfax (sin ST)</t>
        </is>
      </c>
      <c r="I21" t="inlineStr">
        <is>
          <t>A verificar</t>
        </is>
      </c>
    </row>
    <row r="22">
      <c r="A22" t="n">
        <v>350941779</v>
      </c>
      <c r="B22" t="inlineStr">
        <is>
          <t>Fairfax 1 ST (caño bajo)</t>
        </is>
      </c>
      <c r="C22" t="inlineStr">
        <is>
          <t>Marin</t>
        </is>
      </c>
      <c r="D22" t="inlineStr">
        <is>
          <t>M</t>
        </is>
      </c>
      <c r="E22" s="10" t="n">
        <v>165</v>
      </c>
      <c r="F22" s="10" t="n">
        <v>178</v>
      </c>
      <c r="G22" t="inlineStr">
        <is>
          <t>Guía Marin 2022 (PDF)</t>
        </is>
      </c>
      <c r="H22" s="10" t="inlineStr">
        <is>
          <t>Estimado: guía de Fairfax (sin ST)</t>
        </is>
      </c>
      <c r="I22" t="inlineStr">
        <is>
          <t>A verificar</t>
        </is>
      </c>
    </row>
    <row r="23">
      <c r="A23" t="n">
        <v>350941779</v>
      </c>
      <c r="B23" t="inlineStr">
        <is>
          <t>Fairfax 1 ST (caño bajo)</t>
        </is>
      </c>
      <c r="C23" t="inlineStr">
        <is>
          <t>Marin</t>
        </is>
      </c>
      <c r="D23" t="inlineStr">
        <is>
          <t>L</t>
        </is>
      </c>
      <c r="E23" s="10" t="n">
        <v>175</v>
      </c>
      <c r="F23" s="10" t="n">
        <v>188</v>
      </c>
      <c r="G23" t="inlineStr">
        <is>
          <t>Guía Marin 2022 (PDF)</t>
        </is>
      </c>
      <c r="H23" s="10" t="inlineStr">
        <is>
          <t>Estimado: guía de Fairfax (sin ST)</t>
        </is>
      </c>
      <c r="I23" t="inlineStr">
        <is>
          <t>A verificar</t>
        </is>
      </c>
    </row>
    <row r="24">
      <c r="A24" t="n">
        <v>353200327</v>
      </c>
      <c r="B24" t="inlineStr">
        <is>
          <t>Fairfax 3 (2025)</t>
        </is>
      </c>
      <c r="C24" t="inlineStr">
        <is>
          <t>Marin</t>
        </is>
      </c>
      <c r="D24" t="inlineStr">
        <is>
          <t>XS</t>
        </is>
      </c>
      <c r="E24" s="9" t="n">
        <v>150</v>
      </c>
      <c r="F24" s="9" t="n">
        <v>157</v>
      </c>
      <c r="G24" t="inlineStr">
        <is>
          <t>Guía Marin 2022 (PDF)</t>
        </is>
      </c>
      <c r="H24" s="9" t="inlineStr">
        <is>
          <t>Completo</t>
        </is>
      </c>
      <c r="I24" t="inlineStr">
        <is>
          <t>A verificar</t>
        </is>
      </c>
    </row>
    <row r="25">
      <c r="A25" t="n">
        <v>353200327</v>
      </c>
      <c r="B25" t="inlineStr">
        <is>
          <t>Fairfax 3 (2025)</t>
        </is>
      </c>
      <c r="C25" t="inlineStr">
        <is>
          <t>Marin</t>
        </is>
      </c>
      <c r="D25" t="inlineStr">
        <is>
          <t>S</t>
        </is>
      </c>
      <c r="E25" s="9" t="n">
        <v>155</v>
      </c>
      <c r="F25" s="9" t="n">
        <v>168</v>
      </c>
      <c r="G25" t="inlineStr">
        <is>
          <t>Guía Marin 2022 (PDF)</t>
        </is>
      </c>
      <c r="H25" s="9" t="inlineStr">
        <is>
          <t>Completo</t>
        </is>
      </c>
      <c r="I25" t="inlineStr">
        <is>
          <t>A verificar</t>
        </is>
      </c>
    </row>
    <row r="26">
      <c r="A26" t="n">
        <v>353200327</v>
      </c>
      <c r="B26" t="inlineStr">
        <is>
          <t>Fairfax 3 (2025)</t>
        </is>
      </c>
      <c r="C26" t="inlineStr">
        <is>
          <t>Marin</t>
        </is>
      </c>
      <c r="D26" t="inlineStr">
        <is>
          <t>M</t>
        </is>
      </c>
      <c r="E26" s="9" t="n">
        <v>165</v>
      </c>
      <c r="F26" s="9" t="n">
        <v>178</v>
      </c>
      <c r="G26" t="inlineStr">
        <is>
          <t>Guía Marin 2022 (PDF)</t>
        </is>
      </c>
      <c r="H26" s="9" t="inlineStr">
        <is>
          <t>Completo</t>
        </is>
      </c>
      <c r="I26" t="inlineStr">
        <is>
          <t>A verificar</t>
        </is>
      </c>
    </row>
    <row r="27">
      <c r="A27" t="n">
        <v>353200327</v>
      </c>
      <c r="B27" t="inlineStr">
        <is>
          <t>Fairfax 3 (2025)</t>
        </is>
      </c>
      <c r="C27" t="inlineStr">
        <is>
          <t>Marin</t>
        </is>
      </c>
      <c r="D27" t="inlineStr">
        <is>
          <t>L</t>
        </is>
      </c>
      <c r="E27" s="9" t="n">
        <v>175</v>
      </c>
      <c r="F27" s="9" t="n">
        <v>188</v>
      </c>
      <c r="G27" t="inlineStr">
        <is>
          <t>Guía Marin 2022 (PDF)</t>
        </is>
      </c>
      <c r="H27" s="9" t="inlineStr">
        <is>
          <t>Completo</t>
        </is>
      </c>
      <c r="I27" t="inlineStr">
        <is>
          <t>A verificar</t>
        </is>
      </c>
    </row>
    <row r="28">
      <c r="A28" t="n">
        <v>353200327</v>
      </c>
      <c r="B28" t="inlineStr">
        <is>
          <t>Fairfax 3 (2025)</t>
        </is>
      </c>
      <c r="C28" t="inlineStr">
        <is>
          <t>Marin</t>
        </is>
      </c>
      <c r="D28" t="inlineStr">
        <is>
          <t>XL</t>
        </is>
      </c>
      <c r="E28" s="9" t="n">
        <v>185</v>
      </c>
      <c r="F28" s="9" t="n">
        <v>193</v>
      </c>
      <c r="G28" t="inlineStr">
        <is>
          <t>Guía Marin 2022 (PDF)</t>
        </is>
      </c>
      <c r="H28" s="9" t="inlineStr">
        <is>
          <t>Completo</t>
        </is>
      </c>
      <c r="I28" t="inlineStr">
        <is>
          <t>A verificar</t>
        </is>
      </c>
    </row>
    <row r="29">
      <c r="A29" t="n">
        <v>284243181</v>
      </c>
      <c r="B29" t="inlineStr">
        <is>
          <t>Presidio 1 (2025)</t>
        </is>
      </c>
      <c r="C29" t="inlineStr">
        <is>
          <t>Marin</t>
        </is>
      </c>
      <c r="D29" t="inlineStr">
        <is>
          <t>S</t>
        </is>
      </c>
      <c r="E29" s="9" t="n">
        <v>155</v>
      </c>
      <c r="F29" s="9" t="n">
        <v>168</v>
      </c>
      <c r="G29" t="inlineStr">
        <is>
          <t>Guía Marin 2022 (PDF)</t>
        </is>
      </c>
      <c r="H29" s="9" t="inlineStr">
        <is>
          <t>Completo</t>
        </is>
      </c>
      <c r="I29" t="inlineStr">
        <is>
          <t>A verificar</t>
        </is>
      </c>
    </row>
    <row r="30">
      <c r="A30" t="n">
        <v>284243181</v>
      </c>
      <c r="B30" t="inlineStr">
        <is>
          <t>Presidio 1 (2025)</t>
        </is>
      </c>
      <c r="C30" t="inlineStr">
        <is>
          <t>Marin</t>
        </is>
      </c>
      <c r="D30" t="inlineStr">
        <is>
          <t>M</t>
        </is>
      </c>
      <c r="E30" s="9" t="n">
        <v>165</v>
      </c>
      <c r="F30" s="9" t="n">
        <v>178</v>
      </c>
      <c r="G30" t="inlineStr">
        <is>
          <t>Guía Marin 2022 (PDF)</t>
        </is>
      </c>
      <c r="H30" s="9" t="inlineStr">
        <is>
          <t>Completo</t>
        </is>
      </c>
      <c r="I30" t="inlineStr">
        <is>
          <t>A verificar</t>
        </is>
      </c>
    </row>
    <row r="31">
      <c r="A31" t="n">
        <v>284243181</v>
      </c>
      <c r="B31" t="inlineStr">
        <is>
          <t>Presidio 1 (2025)</t>
        </is>
      </c>
      <c r="C31" t="inlineStr">
        <is>
          <t>Marin</t>
        </is>
      </c>
      <c r="D31" t="inlineStr">
        <is>
          <t>L</t>
        </is>
      </c>
      <c r="E31" s="9" t="n">
        <v>175</v>
      </c>
      <c r="F31" s="9" t="n">
        <v>188</v>
      </c>
      <c r="G31" t="inlineStr">
        <is>
          <t>Guía Marin 2022 (PDF)</t>
        </is>
      </c>
      <c r="H31" s="9" t="inlineStr">
        <is>
          <t>Completo</t>
        </is>
      </c>
      <c r="I31" t="inlineStr">
        <is>
          <t>A verificar</t>
        </is>
      </c>
    </row>
    <row r="32">
      <c r="A32" t="n">
        <v>284243181</v>
      </c>
      <c r="B32" t="inlineStr">
        <is>
          <t>Presidio 1 (2025)</t>
        </is>
      </c>
      <c r="C32" t="inlineStr">
        <is>
          <t>Marin</t>
        </is>
      </c>
      <c r="D32" t="inlineStr">
        <is>
          <t>XL</t>
        </is>
      </c>
      <c r="E32" s="9" t="n">
        <v>185</v>
      </c>
      <c r="F32" s="9" t="n">
        <v>193</v>
      </c>
      <c r="G32" t="inlineStr">
        <is>
          <t>Guía Marin 2022 (PDF)</t>
        </is>
      </c>
      <c r="H32" s="9" t="inlineStr">
        <is>
          <t>Completo</t>
        </is>
      </c>
      <c r="I32" t="inlineStr">
        <is>
          <t>A verificar</t>
        </is>
      </c>
    </row>
    <row r="33">
      <c r="A33" t="n">
        <v>284246048</v>
      </c>
      <c r="B33" t="inlineStr">
        <is>
          <t>Muirwoods (2022)</t>
        </is>
      </c>
      <c r="C33" t="inlineStr">
        <is>
          <t>Marin</t>
        </is>
      </c>
      <c r="D33" t="inlineStr">
        <is>
          <t>S</t>
        </is>
      </c>
      <c r="E33" s="9" t="n">
        <v>157</v>
      </c>
      <c r="F33" s="9" t="n">
        <v>170</v>
      </c>
      <c r="G33" t="inlineStr">
        <is>
          <t>Guía Marin 2022 (PDF)</t>
        </is>
      </c>
      <c r="H33" s="9" t="inlineStr">
        <is>
          <t>Completo</t>
        </is>
      </c>
      <c r="I33" t="inlineStr">
        <is>
          <t>A verificar</t>
        </is>
      </c>
    </row>
    <row r="34">
      <c r="A34" t="n">
        <v>284246048</v>
      </c>
      <c r="B34" t="inlineStr">
        <is>
          <t>Muirwoods (2022)</t>
        </is>
      </c>
      <c r="C34" t="inlineStr">
        <is>
          <t>Marin</t>
        </is>
      </c>
      <c r="D34" t="inlineStr">
        <is>
          <t>M</t>
        </is>
      </c>
      <c r="E34" s="9" t="n">
        <v>168</v>
      </c>
      <c r="F34" s="9" t="n">
        <v>180</v>
      </c>
      <c r="G34" t="inlineStr">
        <is>
          <t>Guía Marin 2022 (PDF)</t>
        </is>
      </c>
      <c r="H34" s="9" t="inlineStr">
        <is>
          <t>Completo</t>
        </is>
      </c>
      <c r="I34" t="inlineStr">
        <is>
          <t>A verificar</t>
        </is>
      </c>
    </row>
    <row r="35">
      <c r="A35" t="n">
        <v>284246048</v>
      </c>
      <c r="B35" t="inlineStr">
        <is>
          <t>Muirwoods (2022)</t>
        </is>
      </c>
      <c r="C35" t="inlineStr">
        <is>
          <t>Marin</t>
        </is>
      </c>
      <c r="D35" t="inlineStr">
        <is>
          <t>L</t>
        </is>
      </c>
      <c r="E35" s="9" t="n">
        <v>178</v>
      </c>
      <c r="F35" s="9" t="n">
        <v>188</v>
      </c>
      <c r="G35" t="inlineStr">
        <is>
          <t>Guía Marin 2022 (PDF)</t>
        </is>
      </c>
      <c r="H35" s="9" t="inlineStr">
        <is>
          <t>Completo</t>
        </is>
      </c>
      <c r="I35" t="inlineStr">
        <is>
          <t>A verificar</t>
        </is>
      </c>
    </row>
    <row r="36">
      <c r="A36" t="n">
        <v>284246048</v>
      </c>
      <c r="B36" t="inlineStr">
        <is>
          <t>Muirwoods (2022)</t>
        </is>
      </c>
      <c r="C36" t="inlineStr">
        <is>
          <t>Marin</t>
        </is>
      </c>
      <c r="D36" t="inlineStr">
        <is>
          <t>XL</t>
        </is>
      </c>
      <c r="E36" s="9" t="n">
        <v>185</v>
      </c>
      <c r="F36" s="9" t="n">
        <v>196</v>
      </c>
      <c r="G36" t="inlineStr">
        <is>
          <t>Guía Marin 2022 (PDF)</t>
        </is>
      </c>
      <c r="H36" s="9" t="inlineStr">
        <is>
          <t>Completo</t>
        </is>
      </c>
      <c r="I36" t="inlineStr">
        <is>
          <t>A verificar</t>
        </is>
      </c>
    </row>
    <row r="37">
      <c r="A37" t="n">
        <v>297493608</v>
      </c>
      <c r="B37" t="inlineStr">
        <is>
          <t>Stinson 1</t>
        </is>
      </c>
      <c r="C37" t="inlineStr">
        <is>
          <t>Marin</t>
        </is>
      </c>
      <c r="D37" t="inlineStr">
        <is>
          <t>S</t>
        </is>
      </c>
      <c r="E37" s="9" t="n">
        <v>152</v>
      </c>
      <c r="F37" s="9" t="n">
        <v>165</v>
      </c>
      <c r="G37" t="inlineStr">
        <is>
          <t>Guía Marin 2022 (PDF)</t>
        </is>
      </c>
      <c r="H37" s="9" t="inlineStr">
        <is>
          <t>Completo</t>
        </is>
      </c>
      <c r="I37" t="inlineStr">
        <is>
          <t>A verificar</t>
        </is>
      </c>
    </row>
    <row r="38">
      <c r="A38" t="n">
        <v>297493608</v>
      </c>
      <c r="B38" t="inlineStr">
        <is>
          <t>Stinson 1</t>
        </is>
      </c>
      <c r="C38" t="inlineStr">
        <is>
          <t>Marin</t>
        </is>
      </c>
      <c r="D38" t="inlineStr">
        <is>
          <t>M</t>
        </is>
      </c>
      <c r="E38" s="9" t="n">
        <v>163</v>
      </c>
      <c r="F38" s="9" t="n">
        <v>175</v>
      </c>
      <c r="G38" t="inlineStr">
        <is>
          <t>Guía Marin 2022 (PDF)</t>
        </is>
      </c>
      <c r="H38" s="9" t="inlineStr">
        <is>
          <t>Completo</t>
        </is>
      </c>
      <c r="I38" t="inlineStr">
        <is>
          <t>A verificar</t>
        </is>
      </c>
    </row>
    <row r="39">
      <c r="A39" t="n">
        <v>297493608</v>
      </c>
      <c r="B39" t="inlineStr">
        <is>
          <t>Stinson 1</t>
        </is>
      </c>
      <c r="C39" t="inlineStr">
        <is>
          <t>Marin</t>
        </is>
      </c>
      <c r="D39" t="inlineStr">
        <is>
          <t>L</t>
        </is>
      </c>
      <c r="E39" s="9" t="n">
        <v>173</v>
      </c>
      <c r="F39" s="9" t="n">
        <v>185</v>
      </c>
      <c r="G39" t="inlineStr">
        <is>
          <t>Guía Marin 2022 (PDF)</t>
        </is>
      </c>
      <c r="H39" s="9" t="inlineStr">
        <is>
          <t>Completo</t>
        </is>
      </c>
      <c r="I39" t="inlineStr">
        <is>
          <t>A verificar</t>
        </is>
      </c>
    </row>
    <row r="40">
      <c r="A40" t="n">
        <v>297493608</v>
      </c>
      <c r="B40" t="inlineStr">
        <is>
          <t>Stinson 1</t>
        </is>
      </c>
      <c r="C40" t="inlineStr">
        <is>
          <t>Marin</t>
        </is>
      </c>
      <c r="D40" t="inlineStr">
        <is>
          <t>XL</t>
        </is>
      </c>
      <c r="E40" s="9" t="n">
        <v>183</v>
      </c>
      <c r="F40" s="9" t="n">
        <v>191</v>
      </c>
      <c r="G40" t="inlineStr">
        <is>
          <t>Guía Marin 2022 (PDF)</t>
        </is>
      </c>
      <c r="H40" s="9" t="inlineStr">
        <is>
          <t>Completo</t>
        </is>
      </c>
      <c r="I40" t="inlineStr">
        <is>
          <t>A verificar</t>
        </is>
      </c>
    </row>
    <row r="41">
      <c r="A41" t="n">
        <v>297519717</v>
      </c>
      <c r="B41" t="inlineStr">
        <is>
          <t>Stinson 2</t>
        </is>
      </c>
      <c r="C41" t="inlineStr">
        <is>
          <t>Marin</t>
        </is>
      </c>
      <c r="D41" t="inlineStr">
        <is>
          <t>S</t>
        </is>
      </c>
      <c r="E41" s="9" t="n">
        <v>152</v>
      </c>
      <c r="F41" s="9" t="n">
        <v>165</v>
      </c>
      <c r="G41" t="inlineStr">
        <is>
          <t>Guía Marin 2022 (PDF)</t>
        </is>
      </c>
      <c r="H41" s="9" t="inlineStr">
        <is>
          <t>Completo</t>
        </is>
      </c>
      <c r="I41" t="inlineStr">
        <is>
          <t>A verificar</t>
        </is>
      </c>
    </row>
    <row r="42">
      <c r="A42" t="n">
        <v>297519717</v>
      </c>
      <c r="B42" t="inlineStr">
        <is>
          <t>Stinson 2</t>
        </is>
      </c>
      <c r="C42" t="inlineStr">
        <is>
          <t>Marin</t>
        </is>
      </c>
      <c r="D42" t="inlineStr">
        <is>
          <t>M</t>
        </is>
      </c>
      <c r="E42" s="9" t="n">
        <v>163</v>
      </c>
      <c r="F42" s="9" t="n">
        <v>175</v>
      </c>
      <c r="G42" t="inlineStr">
        <is>
          <t>Guía Marin 2022 (PDF)</t>
        </is>
      </c>
      <c r="H42" s="9" t="inlineStr">
        <is>
          <t>Completo</t>
        </is>
      </c>
      <c r="I42" t="inlineStr">
        <is>
          <t>A verificar</t>
        </is>
      </c>
    </row>
    <row r="43">
      <c r="A43" t="n">
        <v>297519717</v>
      </c>
      <c r="B43" t="inlineStr">
        <is>
          <t>Stinson 2</t>
        </is>
      </c>
      <c r="C43" t="inlineStr">
        <is>
          <t>Marin</t>
        </is>
      </c>
      <c r="D43" t="inlineStr">
        <is>
          <t>L</t>
        </is>
      </c>
      <c r="E43" s="9" t="n">
        <v>173</v>
      </c>
      <c r="F43" s="9" t="n">
        <v>185</v>
      </c>
      <c r="G43" t="inlineStr">
        <is>
          <t>Guía Marin 2022 (PDF)</t>
        </is>
      </c>
      <c r="H43" s="9" t="inlineStr">
        <is>
          <t>Completo</t>
        </is>
      </c>
      <c r="I43" t="inlineStr">
        <is>
          <t>A verificar</t>
        </is>
      </c>
    </row>
    <row r="44">
      <c r="A44" t="n">
        <v>297519717</v>
      </c>
      <c r="B44" t="inlineStr">
        <is>
          <t>Stinson 2</t>
        </is>
      </c>
      <c r="C44" t="inlineStr">
        <is>
          <t>Marin</t>
        </is>
      </c>
      <c r="D44" t="inlineStr">
        <is>
          <t>XL</t>
        </is>
      </c>
      <c r="E44" s="9" t="n">
        <v>183</v>
      </c>
      <c r="F44" s="9" t="n">
        <v>191</v>
      </c>
      <c r="G44" t="inlineStr">
        <is>
          <t>Guía Marin 2022 (PDF)</t>
        </is>
      </c>
      <c r="H44" s="9" t="inlineStr">
        <is>
          <t>Completo</t>
        </is>
      </c>
      <c r="I44" t="inlineStr">
        <is>
          <t>A verificar</t>
        </is>
      </c>
    </row>
    <row r="45">
      <c r="A45" t="n">
        <v>354117226</v>
      </c>
      <c r="B45" t="inlineStr">
        <is>
          <t>Stinson 2 ST</t>
        </is>
      </c>
      <c r="C45" t="inlineStr">
        <is>
          <t>Marin</t>
        </is>
      </c>
      <c r="D45" t="inlineStr">
        <is>
          <t>XS</t>
        </is>
      </c>
      <c r="E45" s="12" t="n"/>
      <c r="F45" s="12" t="n"/>
      <c r="G45" t="inlineStr"/>
      <c r="H45" s="12" t="inlineStr">
        <is>
          <t>COMPLETAR (no está en la guía)</t>
        </is>
      </c>
      <c r="I45" t="inlineStr">
        <is>
          <t>A verificar</t>
        </is>
      </c>
    </row>
    <row r="46">
      <c r="A46" t="n">
        <v>354117226</v>
      </c>
      <c r="B46" t="inlineStr">
        <is>
          <t>Stinson 2 ST</t>
        </is>
      </c>
      <c r="C46" t="inlineStr">
        <is>
          <t>Marin</t>
        </is>
      </c>
      <c r="D46" t="inlineStr">
        <is>
          <t>S</t>
        </is>
      </c>
      <c r="E46" s="9" t="n">
        <v>152</v>
      </c>
      <c r="F46" s="9" t="n">
        <v>165</v>
      </c>
      <c r="G46" t="inlineStr">
        <is>
          <t>Guía Marin 2022 (PDF)</t>
        </is>
      </c>
      <c r="H46" s="9" t="inlineStr">
        <is>
          <t>Completo</t>
        </is>
      </c>
      <c r="I46" t="inlineStr">
        <is>
          <t>A verificar</t>
        </is>
      </c>
    </row>
    <row r="47">
      <c r="A47" t="n">
        <v>354117226</v>
      </c>
      <c r="B47" t="inlineStr">
        <is>
          <t>Stinson 2 ST</t>
        </is>
      </c>
      <c r="C47" t="inlineStr">
        <is>
          <t>Marin</t>
        </is>
      </c>
      <c r="D47" t="inlineStr">
        <is>
          <t>M</t>
        </is>
      </c>
      <c r="E47" s="9" t="n">
        <v>163</v>
      </c>
      <c r="F47" s="9" t="n">
        <v>175</v>
      </c>
      <c r="G47" t="inlineStr">
        <is>
          <t>Guía Marin 2022 (PDF)</t>
        </is>
      </c>
      <c r="H47" s="9" t="inlineStr">
        <is>
          <t>Completo</t>
        </is>
      </c>
      <c r="I47" t="inlineStr">
        <is>
          <t>A verificar</t>
        </is>
      </c>
    </row>
    <row r="48">
      <c r="A48" t="n">
        <v>354117226</v>
      </c>
      <c r="B48" t="inlineStr">
        <is>
          <t>Stinson 2 ST</t>
        </is>
      </c>
      <c r="C48" t="inlineStr">
        <is>
          <t>Marin</t>
        </is>
      </c>
      <c r="D48" t="inlineStr">
        <is>
          <t>L</t>
        </is>
      </c>
      <c r="E48" s="9" t="n">
        <v>173</v>
      </c>
      <c r="F48" s="9" t="n">
        <v>180</v>
      </c>
      <c r="G48" t="inlineStr">
        <is>
          <t>Guía Marin 2022 (PDF)</t>
        </is>
      </c>
      <c r="H48" s="9" t="inlineStr">
        <is>
          <t>Completo</t>
        </is>
      </c>
      <c r="I48" t="inlineStr">
        <is>
          <t>A verificar</t>
        </is>
      </c>
    </row>
    <row r="49">
      <c r="A49" t="n">
        <v>354117226</v>
      </c>
      <c r="B49" t="inlineStr">
        <is>
          <t>Stinson 2 ST</t>
        </is>
      </c>
      <c r="C49" t="inlineStr">
        <is>
          <t>Marin</t>
        </is>
      </c>
      <c r="D49" t="inlineStr">
        <is>
          <t>XL</t>
        </is>
      </c>
      <c r="E49" s="12" t="n"/>
      <c r="F49" s="12" t="n"/>
      <c r="G49" t="inlineStr"/>
      <c r="H49" s="12" t="inlineStr">
        <is>
          <t>COMPLETAR (no está en la guía)</t>
        </is>
      </c>
      <c r="I49" t="inlineStr">
        <is>
          <t>A verificar</t>
        </is>
      </c>
    </row>
    <row r="50">
      <c r="A50" t="n">
        <v>283042882</v>
      </c>
      <c r="B50" t="inlineStr">
        <is>
          <t>Nicasio (2023)</t>
        </is>
      </c>
      <c r="C50" t="inlineStr">
        <is>
          <t>Marin</t>
        </is>
      </c>
      <c r="D50" t="inlineStr">
        <is>
          <t>50cm</t>
        </is>
      </c>
      <c r="E50" s="9" t="n">
        <v>150</v>
      </c>
      <c r="F50" s="9" t="n">
        <v>160</v>
      </c>
      <c r="G50" t="inlineStr">
        <is>
          <t>Guía Marin 2022 (PDF)</t>
        </is>
      </c>
      <c r="H50" s="9" t="inlineStr">
        <is>
          <t>Completo</t>
        </is>
      </c>
      <c r="I50" t="inlineStr">
        <is>
          <t>A verificar</t>
        </is>
      </c>
    </row>
    <row r="51">
      <c r="A51" t="n">
        <v>283042882</v>
      </c>
      <c r="B51" t="inlineStr">
        <is>
          <t>Nicasio (2023)</t>
        </is>
      </c>
      <c r="C51" t="inlineStr">
        <is>
          <t>Marin</t>
        </is>
      </c>
      <c r="D51" t="inlineStr">
        <is>
          <t>52cm</t>
        </is>
      </c>
      <c r="E51" s="9" t="n">
        <v>157</v>
      </c>
      <c r="F51" s="9" t="n">
        <v>165</v>
      </c>
      <c r="G51" t="inlineStr">
        <is>
          <t>Guía Marin 2022 (PDF)</t>
        </is>
      </c>
      <c r="H51" s="9" t="inlineStr">
        <is>
          <t>Completo</t>
        </is>
      </c>
      <c r="I51" t="inlineStr">
        <is>
          <t>A verificar</t>
        </is>
      </c>
    </row>
    <row r="52">
      <c r="A52" t="n">
        <v>283042882</v>
      </c>
      <c r="B52" t="inlineStr">
        <is>
          <t>Nicasio (2023)</t>
        </is>
      </c>
      <c r="C52" t="inlineStr">
        <is>
          <t>Marin</t>
        </is>
      </c>
      <c r="D52" t="inlineStr">
        <is>
          <t>54cm</t>
        </is>
      </c>
      <c r="E52" s="9" t="n">
        <v>163</v>
      </c>
      <c r="F52" s="9" t="n">
        <v>175</v>
      </c>
      <c r="G52" t="inlineStr">
        <is>
          <t>Guía Marin 2022 (PDF)</t>
        </is>
      </c>
      <c r="H52" s="9" t="inlineStr">
        <is>
          <t>Completo</t>
        </is>
      </c>
      <c r="I52" t="inlineStr">
        <is>
          <t>A verificar</t>
        </is>
      </c>
    </row>
    <row r="53">
      <c r="A53" t="n">
        <v>283042882</v>
      </c>
      <c r="B53" t="inlineStr">
        <is>
          <t>Nicasio (2023)</t>
        </is>
      </c>
      <c r="C53" t="inlineStr">
        <is>
          <t>Marin</t>
        </is>
      </c>
      <c r="D53" t="inlineStr">
        <is>
          <t>56cm</t>
        </is>
      </c>
      <c r="E53" s="9" t="n">
        <v>173</v>
      </c>
      <c r="F53" s="9" t="n">
        <v>183</v>
      </c>
      <c r="G53" t="inlineStr">
        <is>
          <t>Guía Marin 2022 (PDF)</t>
        </is>
      </c>
      <c r="H53" s="9" t="inlineStr">
        <is>
          <t>Completo</t>
        </is>
      </c>
      <c r="I53" t="inlineStr">
        <is>
          <t>A verificar</t>
        </is>
      </c>
    </row>
    <row r="54">
      <c r="A54" t="n">
        <v>283042882</v>
      </c>
      <c r="B54" t="inlineStr">
        <is>
          <t>Nicasio (2023)</t>
        </is>
      </c>
      <c r="C54" t="inlineStr">
        <is>
          <t>Marin</t>
        </is>
      </c>
      <c r="D54" t="inlineStr">
        <is>
          <t>58cm</t>
        </is>
      </c>
      <c r="E54" s="9" t="n">
        <v>180</v>
      </c>
      <c r="F54" s="9" t="n">
        <v>188</v>
      </c>
      <c r="G54" t="inlineStr">
        <is>
          <t>Guía Marin 2022 (PDF)</t>
        </is>
      </c>
      <c r="H54" s="9" t="inlineStr">
        <is>
          <t>Completo</t>
        </is>
      </c>
      <c r="I54" t="inlineStr">
        <is>
          <t>A verificar</t>
        </is>
      </c>
    </row>
    <row r="55">
      <c r="A55" t="n">
        <v>283042882</v>
      </c>
      <c r="B55" t="inlineStr">
        <is>
          <t>Nicasio (2023)</t>
        </is>
      </c>
      <c r="C55" t="inlineStr">
        <is>
          <t>Marin</t>
        </is>
      </c>
      <c r="D55" t="inlineStr">
        <is>
          <t>60cm</t>
        </is>
      </c>
      <c r="E55" s="9" t="n">
        <v>185</v>
      </c>
      <c r="F55" s="9" t="n">
        <v>196</v>
      </c>
      <c r="G55" t="inlineStr">
        <is>
          <t>Guía Marin 2022 (PDF)</t>
        </is>
      </c>
      <c r="H55" s="9" t="inlineStr">
        <is>
          <t>Completo</t>
        </is>
      </c>
      <c r="I55" t="inlineStr">
        <is>
          <t>A verificar</t>
        </is>
      </c>
    </row>
    <row r="56">
      <c r="A56" t="n">
        <v>283050150</v>
      </c>
      <c r="B56" t="inlineStr">
        <is>
          <t>Nicasio 1 (2025)</t>
        </is>
      </c>
      <c r="C56" t="inlineStr">
        <is>
          <t>Marin</t>
        </is>
      </c>
      <c r="D56" t="inlineStr">
        <is>
          <t>52</t>
        </is>
      </c>
      <c r="E56" s="9" t="n">
        <v>157</v>
      </c>
      <c r="F56" s="9" t="n">
        <v>165</v>
      </c>
      <c r="G56" t="inlineStr">
        <is>
          <t>Guía Marin 2022 (PDF)</t>
        </is>
      </c>
      <c r="H56" s="9" t="inlineStr">
        <is>
          <t>Completo</t>
        </is>
      </c>
      <c r="I56" t="inlineStr">
        <is>
          <t>A verificar</t>
        </is>
      </c>
    </row>
    <row r="57">
      <c r="A57" t="n">
        <v>283050150</v>
      </c>
      <c r="B57" t="inlineStr">
        <is>
          <t>Nicasio 1 (2025)</t>
        </is>
      </c>
      <c r="C57" t="inlineStr">
        <is>
          <t>Marin</t>
        </is>
      </c>
      <c r="D57" t="inlineStr">
        <is>
          <t>54</t>
        </is>
      </c>
      <c r="E57" s="9" t="n">
        <v>163</v>
      </c>
      <c r="F57" s="9" t="n">
        <v>175</v>
      </c>
      <c r="G57" t="inlineStr">
        <is>
          <t>Guía Marin 2022 (PDF)</t>
        </is>
      </c>
      <c r="H57" s="9" t="inlineStr">
        <is>
          <t>Completo</t>
        </is>
      </c>
      <c r="I57" t="inlineStr">
        <is>
          <t>A verificar</t>
        </is>
      </c>
    </row>
    <row r="58">
      <c r="A58" t="n">
        <v>283050150</v>
      </c>
      <c r="B58" t="inlineStr">
        <is>
          <t>Nicasio 1 (2025)</t>
        </is>
      </c>
      <c r="C58" t="inlineStr">
        <is>
          <t>Marin</t>
        </is>
      </c>
      <c r="D58" t="inlineStr">
        <is>
          <t>56</t>
        </is>
      </c>
      <c r="E58" s="9" t="n">
        <v>173</v>
      </c>
      <c r="F58" s="9" t="n">
        <v>183</v>
      </c>
      <c r="G58" t="inlineStr">
        <is>
          <t>Guía Marin 2022 (PDF)</t>
        </is>
      </c>
      <c r="H58" s="9" t="inlineStr">
        <is>
          <t>Completo</t>
        </is>
      </c>
      <c r="I58" t="inlineStr">
        <is>
          <t>A verificar</t>
        </is>
      </c>
    </row>
    <row r="59">
      <c r="A59" t="n">
        <v>283050150</v>
      </c>
      <c r="B59" t="inlineStr">
        <is>
          <t>Nicasio 1 (2025)</t>
        </is>
      </c>
      <c r="C59" t="inlineStr">
        <is>
          <t>Marin</t>
        </is>
      </c>
      <c r="D59" t="inlineStr">
        <is>
          <t>58</t>
        </is>
      </c>
      <c r="E59" s="9" t="n">
        <v>180</v>
      </c>
      <c r="F59" s="9" t="n">
        <v>188</v>
      </c>
      <c r="G59" t="inlineStr">
        <is>
          <t>Guía Marin 2022 (PDF)</t>
        </is>
      </c>
      <c r="H59" s="9" t="inlineStr">
        <is>
          <t>Completo</t>
        </is>
      </c>
      <c r="I59" t="inlineStr">
        <is>
          <t>A verificar</t>
        </is>
      </c>
    </row>
    <row r="60">
      <c r="A60" t="n">
        <v>283050150</v>
      </c>
      <c r="B60" t="inlineStr">
        <is>
          <t>Nicasio 1 (2025)</t>
        </is>
      </c>
      <c r="C60" t="inlineStr">
        <is>
          <t>Marin</t>
        </is>
      </c>
      <c r="D60" t="inlineStr">
        <is>
          <t>60</t>
        </is>
      </c>
      <c r="E60" s="9" t="n">
        <v>185</v>
      </c>
      <c r="F60" s="9" t="n">
        <v>196</v>
      </c>
      <c r="G60" t="inlineStr">
        <is>
          <t>Guía Marin 2022 (PDF)</t>
        </is>
      </c>
      <c r="H60" s="9" t="inlineStr">
        <is>
          <t>Completo</t>
        </is>
      </c>
      <c r="I60" t="inlineStr">
        <is>
          <t>A verificar</t>
        </is>
      </c>
    </row>
    <row r="61">
      <c r="A61" t="n">
        <v>345977305</v>
      </c>
      <c r="B61" t="inlineStr">
        <is>
          <t>Nicasio+ Sword (650B)</t>
        </is>
      </c>
      <c r="C61" t="inlineStr">
        <is>
          <t>Marin</t>
        </is>
      </c>
      <c r="D61" t="inlineStr">
        <is>
          <t>52</t>
        </is>
      </c>
      <c r="E61" s="10" t="n">
        <v>157</v>
      </c>
      <c r="F61" s="10" t="n">
        <v>165</v>
      </c>
      <c r="G61" t="inlineStr">
        <is>
          <t>Guía Marin 2022 (PDF)</t>
        </is>
      </c>
      <c r="H61" s="10" t="inlineStr">
        <is>
          <t>Estimado: guía de Nicasio</t>
        </is>
      </c>
      <c r="I61" t="inlineStr">
        <is>
          <t>A verificar</t>
        </is>
      </c>
    </row>
    <row r="62">
      <c r="A62" t="n">
        <v>345977305</v>
      </c>
      <c r="B62" t="inlineStr">
        <is>
          <t>Nicasio+ Sword (650B)</t>
        </is>
      </c>
      <c r="C62" t="inlineStr">
        <is>
          <t>Marin</t>
        </is>
      </c>
      <c r="D62" t="inlineStr">
        <is>
          <t>54</t>
        </is>
      </c>
      <c r="E62" s="10" t="n">
        <v>163</v>
      </c>
      <c r="F62" s="10" t="n">
        <v>175</v>
      </c>
      <c r="G62" t="inlineStr">
        <is>
          <t>Guía Marin 2022 (PDF)</t>
        </is>
      </c>
      <c r="H62" s="10" t="inlineStr">
        <is>
          <t>Estimado: guía de Nicasio</t>
        </is>
      </c>
      <c r="I62" t="inlineStr">
        <is>
          <t>A verificar</t>
        </is>
      </c>
    </row>
    <row r="63">
      <c r="A63" t="n">
        <v>345977305</v>
      </c>
      <c r="B63" t="inlineStr">
        <is>
          <t>Nicasio+ Sword (650B)</t>
        </is>
      </c>
      <c r="C63" t="inlineStr">
        <is>
          <t>Marin</t>
        </is>
      </c>
      <c r="D63" t="inlineStr">
        <is>
          <t>56</t>
        </is>
      </c>
      <c r="E63" s="10" t="n">
        <v>173</v>
      </c>
      <c r="F63" s="10" t="n">
        <v>183</v>
      </c>
      <c r="G63" t="inlineStr">
        <is>
          <t>Guía Marin 2022 (PDF)</t>
        </is>
      </c>
      <c r="H63" s="10" t="inlineStr">
        <is>
          <t>Estimado: guía de Nicasio</t>
        </is>
      </c>
      <c r="I63" t="inlineStr">
        <is>
          <t>A verificar</t>
        </is>
      </c>
    </row>
    <row r="64">
      <c r="A64" t="n">
        <v>350939845</v>
      </c>
      <c r="B64" t="inlineStr">
        <is>
          <t>Nicasio 1 ST (caño bajo)</t>
        </is>
      </c>
      <c r="C64" t="inlineStr">
        <is>
          <t>Marin</t>
        </is>
      </c>
      <c r="D64" t="inlineStr">
        <is>
          <t>47</t>
        </is>
      </c>
      <c r="E64" s="10" t="n">
        <v>146</v>
      </c>
      <c r="F64" s="10" t="n">
        <v>152</v>
      </c>
      <c r="G64" t="inlineStr">
        <is>
          <t>Guía Marin 2022 (PDF)</t>
        </is>
      </c>
      <c r="H64" s="10" t="inlineStr">
        <is>
          <t>Estimado: guía de Nicasio (sin ST)</t>
        </is>
      </c>
      <c r="I64" t="inlineStr">
        <is>
          <t>A verificar</t>
        </is>
      </c>
    </row>
    <row r="65">
      <c r="A65" t="n">
        <v>350939845</v>
      </c>
      <c r="B65" t="inlineStr">
        <is>
          <t>Nicasio 1 ST (caño bajo)</t>
        </is>
      </c>
      <c r="C65" t="inlineStr">
        <is>
          <t>Marin</t>
        </is>
      </c>
      <c r="D65" t="inlineStr">
        <is>
          <t>50</t>
        </is>
      </c>
      <c r="E65" s="10" t="n">
        <v>150</v>
      </c>
      <c r="F65" s="10" t="n">
        <v>160</v>
      </c>
      <c r="G65" t="inlineStr">
        <is>
          <t>Guía Marin 2022 (PDF)</t>
        </is>
      </c>
      <c r="H65" s="10" t="inlineStr">
        <is>
          <t>Estimado: guía de Nicasio (sin ST)</t>
        </is>
      </c>
      <c r="I65" t="inlineStr">
        <is>
          <t>A verificar</t>
        </is>
      </c>
    </row>
    <row r="66">
      <c r="A66" t="n">
        <v>350939845</v>
      </c>
      <c r="B66" t="inlineStr">
        <is>
          <t>Nicasio 1 ST (caño bajo)</t>
        </is>
      </c>
      <c r="C66" t="inlineStr">
        <is>
          <t>Marin</t>
        </is>
      </c>
      <c r="D66" t="inlineStr">
        <is>
          <t>52</t>
        </is>
      </c>
      <c r="E66" s="10" t="n">
        <v>157</v>
      </c>
      <c r="F66" s="10" t="n">
        <v>165</v>
      </c>
      <c r="G66" t="inlineStr">
        <is>
          <t>Guía Marin 2022 (PDF)</t>
        </is>
      </c>
      <c r="H66" s="10" t="inlineStr">
        <is>
          <t>Estimado: guía de Nicasio (sin ST)</t>
        </is>
      </c>
      <c r="I66" t="inlineStr">
        <is>
          <t>A verificar</t>
        </is>
      </c>
    </row>
    <row r="67">
      <c r="A67" t="n">
        <v>350939845</v>
      </c>
      <c r="B67" t="inlineStr">
        <is>
          <t>Nicasio 1 ST (caño bajo)</t>
        </is>
      </c>
      <c r="C67" t="inlineStr">
        <is>
          <t>Marin</t>
        </is>
      </c>
      <c r="D67" t="inlineStr">
        <is>
          <t>54</t>
        </is>
      </c>
      <c r="E67" s="10" t="n">
        <v>163</v>
      </c>
      <c r="F67" s="10" t="n">
        <v>175</v>
      </c>
      <c r="G67" t="inlineStr">
        <is>
          <t>Guía Marin 2022 (PDF)</t>
        </is>
      </c>
      <c r="H67" s="10" t="inlineStr">
        <is>
          <t>Estimado: guía de Nicasio (sin ST)</t>
        </is>
      </c>
      <c r="I67" t="inlineStr">
        <is>
          <t>A verificar</t>
        </is>
      </c>
    </row>
    <row r="68">
      <c r="A68" t="n">
        <v>350939845</v>
      </c>
      <c r="B68" t="inlineStr">
        <is>
          <t>Nicasio 1 ST (caño bajo)</t>
        </is>
      </c>
      <c r="C68" t="inlineStr">
        <is>
          <t>Marin</t>
        </is>
      </c>
      <c r="D68" t="inlineStr">
        <is>
          <t>56</t>
        </is>
      </c>
      <c r="E68" s="10" t="n">
        <v>173</v>
      </c>
      <c r="F68" s="10" t="n">
        <v>183</v>
      </c>
      <c r="G68" t="inlineStr">
        <is>
          <t>Guía Marin 2022 (PDF)</t>
        </is>
      </c>
      <c r="H68" s="10" t="inlineStr">
        <is>
          <t>Estimado: guía de Nicasio (sin ST)</t>
        </is>
      </c>
      <c r="I68" t="inlineStr">
        <is>
          <t>A verificar</t>
        </is>
      </c>
    </row>
    <row r="69">
      <c r="A69" t="n">
        <v>283064870</v>
      </c>
      <c r="B69" t="inlineStr">
        <is>
          <t>Four Corners 1 Sword (2025)</t>
        </is>
      </c>
      <c r="C69" t="inlineStr">
        <is>
          <t>Marin</t>
        </is>
      </c>
      <c r="D69" t="inlineStr">
        <is>
          <t>S</t>
        </is>
      </c>
      <c r="E69" s="9" t="n">
        <v>157</v>
      </c>
      <c r="F69" s="9" t="n">
        <v>170</v>
      </c>
      <c r="G69" t="inlineStr">
        <is>
          <t>Guía Marin 2022 (PDF)</t>
        </is>
      </c>
      <c r="H69" s="9" t="inlineStr">
        <is>
          <t>Completo</t>
        </is>
      </c>
      <c r="I69" t="inlineStr">
        <is>
          <t>A verificar</t>
        </is>
      </c>
    </row>
    <row r="70">
      <c r="A70" t="n">
        <v>283064870</v>
      </c>
      <c r="B70" t="inlineStr">
        <is>
          <t>Four Corners 1 Sword (2025)</t>
        </is>
      </c>
      <c r="C70" t="inlineStr">
        <is>
          <t>Marin</t>
        </is>
      </c>
      <c r="D70" t="inlineStr">
        <is>
          <t>M</t>
        </is>
      </c>
      <c r="E70" s="9" t="n">
        <v>168</v>
      </c>
      <c r="F70" s="9" t="n">
        <v>180</v>
      </c>
      <c r="G70" t="inlineStr">
        <is>
          <t>Guía Marin 2022 (PDF)</t>
        </is>
      </c>
      <c r="H70" s="9" t="inlineStr">
        <is>
          <t>Completo</t>
        </is>
      </c>
      <c r="I70" t="inlineStr">
        <is>
          <t>A verificar</t>
        </is>
      </c>
    </row>
    <row r="71">
      <c r="A71" t="n">
        <v>283064870</v>
      </c>
      <c r="B71" t="inlineStr">
        <is>
          <t>Four Corners 1 Sword (2025)</t>
        </is>
      </c>
      <c r="C71" t="inlineStr">
        <is>
          <t>Marin</t>
        </is>
      </c>
      <c r="D71" t="inlineStr">
        <is>
          <t>L</t>
        </is>
      </c>
      <c r="E71" s="9" t="n">
        <v>178</v>
      </c>
      <c r="F71" s="9" t="n">
        <v>188</v>
      </c>
      <c r="G71" t="inlineStr">
        <is>
          <t>Guía Marin 2022 (PDF)</t>
        </is>
      </c>
      <c r="H71" s="9" t="inlineStr">
        <is>
          <t>Completo</t>
        </is>
      </c>
      <c r="I71" t="inlineStr">
        <is>
          <t>A verificar</t>
        </is>
      </c>
    </row>
    <row r="72">
      <c r="A72" t="n">
        <v>283064870</v>
      </c>
      <c r="B72" t="inlineStr">
        <is>
          <t>Four Corners 1 Sword (2025)</t>
        </is>
      </c>
      <c r="C72" t="inlineStr">
        <is>
          <t>Marin</t>
        </is>
      </c>
      <c r="D72" t="inlineStr">
        <is>
          <t>XL</t>
        </is>
      </c>
      <c r="E72" s="9" t="n">
        <v>185</v>
      </c>
      <c r="F72" s="9" t="n">
        <v>196</v>
      </c>
      <c r="G72" t="inlineStr">
        <is>
          <t>Guía Marin 2022 (PDF)</t>
        </is>
      </c>
      <c r="H72" s="9" t="inlineStr">
        <is>
          <t>Completo</t>
        </is>
      </c>
      <c r="I72" t="inlineStr">
        <is>
          <t>A verificar</t>
        </is>
      </c>
    </row>
    <row r="73">
      <c r="A73" t="n">
        <v>350940160</v>
      </c>
      <c r="B73" t="inlineStr">
        <is>
          <t>Four Corners 1 Cues (2026)</t>
        </is>
      </c>
      <c r="C73" t="inlineStr">
        <is>
          <t>Marin</t>
        </is>
      </c>
      <c r="D73" t="inlineStr">
        <is>
          <t>XS (ROD27,5)</t>
        </is>
      </c>
      <c r="E73" s="9" t="n">
        <v>150</v>
      </c>
      <c r="F73" s="9" t="n">
        <v>160</v>
      </c>
      <c r="G73" t="inlineStr">
        <is>
          <t>Guía Marin 2022 (PDF)</t>
        </is>
      </c>
      <c r="H73" s="9" t="inlineStr">
        <is>
          <t>Completo</t>
        </is>
      </c>
      <c r="I73" t="inlineStr">
        <is>
          <t>A verificar</t>
        </is>
      </c>
    </row>
    <row r="74">
      <c r="A74" t="n">
        <v>350940160</v>
      </c>
      <c r="B74" t="inlineStr">
        <is>
          <t>Four Corners 1 Cues (2026)</t>
        </is>
      </c>
      <c r="C74" t="inlineStr">
        <is>
          <t>Marin</t>
        </is>
      </c>
      <c r="D74" t="inlineStr">
        <is>
          <t>S (ROD27,5)</t>
        </is>
      </c>
      <c r="E74" s="9" t="n">
        <v>157</v>
      </c>
      <c r="F74" s="9" t="n">
        <v>170</v>
      </c>
      <c r="G74" t="inlineStr">
        <is>
          <t>Guía Marin 2022 (PDF)</t>
        </is>
      </c>
      <c r="H74" s="9" t="inlineStr">
        <is>
          <t>Completo</t>
        </is>
      </c>
      <c r="I74" t="inlineStr">
        <is>
          <t>A verificar</t>
        </is>
      </c>
    </row>
    <row r="75">
      <c r="A75" t="n">
        <v>350940160</v>
      </c>
      <c r="B75" t="inlineStr">
        <is>
          <t>Four Corners 1 Cues (2026)</t>
        </is>
      </c>
      <c r="C75" t="inlineStr">
        <is>
          <t>Marin</t>
        </is>
      </c>
      <c r="D75" t="inlineStr">
        <is>
          <t>M (ROD700)</t>
        </is>
      </c>
      <c r="E75" s="9" t="n">
        <v>168</v>
      </c>
      <c r="F75" s="9" t="n">
        <v>180</v>
      </c>
      <c r="G75" t="inlineStr">
        <is>
          <t>Guía Marin 2022 (PDF)</t>
        </is>
      </c>
      <c r="H75" s="9" t="inlineStr">
        <is>
          <t>Completo</t>
        </is>
      </c>
      <c r="I75" t="inlineStr">
        <is>
          <t>A verificar</t>
        </is>
      </c>
    </row>
    <row r="76">
      <c r="A76" t="n">
        <v>350940160</v>
      </c>
      <c r="B76" t="inlineStr">
        <is>
          <t>Four Corners 1 Cues (2026)</t>
        </is>
      </c>
      <c r="C76" t="inlineStr">
        <is>
          <t>Marin</t>
        </is>
      </c>
      <c r="D76" t="inlineStr">
        <is>
          <t>L (ROD700)</t>
        </is>
      </c>
      <c r="E76" s="9" t="n">
        <v>178</v>
      </c>
      <c r="F76" s="9" t="n">
        <v>188</v>
      </c>
      <c r="G76" t="inlineStr">
        <is>
          <t>Guía Marin 2022 (PDF)</t>
        </is>
      </c>
      <c r="H76" s="9" t="inlineStr">
        <is>
          <t>Completo</t>
        </is>
      </c>
      <c r="I76" t="inlineStr">
        <is>
          <t>A verificar</t>
        </is>
      </c>
    </row>
    <row r="77">
      <c r="A77" t="n">
        <v>350940160</v>
      </c>
      <c r="B77" t="inlineStr">
        <is>
          <t>Four Corners 1 Cues (2026)</t>
        </is>
      </c>
      <c r="C77" t="inlineStr">
        <is>
          <t>Marin</t>
        </is>
      </c>
      <c r="D77" t="inlineStr">
        <is>
          <t>XL (ROD700)</t>
        </is>
      </c>
      <c r="E77" s="9" t="n">
        <v>185</v>
      </c>
      <c r="F77" s="9" t="n">
        <v>196</v>
      </c>
      <c r="G77" t="inlineStr">
        <is>
          <t>Guía Marin 2022 (PDF)</t>
        </is>
      </c>
      <c r="H77" s="9" t="inlineStr">
        <is>
          <t>Completo</t>
        </is>
      </c>
      <c r="I77" t="inlineStr">
        <is>
          <t>A verificar</t>
        </is>
      </c>
    </row>
    <row r="78">
      <c r="A78" t="n">
        <v>297455735</v>
      </c>
      <c r="B78" t="inlineStr">
        <is>
          <t>DSX 1 (2026)</t>
        </is>
      </c>
      <c r="C78" t="inlineStr">
        <is>
          <t>Marin</t>
        </is>
      </c>
      <c r="D78" t="inlineStr">
        <is>
          <t>S</t>
        </is>
      </c>
      <c r="E78" s="9" t="n">
        <v>157</v>
      </c>
      <c r="F78" s="9" t="n">
        <v>168</v>
      </c>
      <c r="G78" t="inlineStr">
        <is>
          <t>Guía Marin 2022 (PDF)</t>
        </is>
      </c>
      <c r="H78" s="9" t="inlineStr">
        <is>
          <t>Completo</t>
        </is>
      </c>
      <c r="I78" t="inlineStr">
        <is>
          <t>A verificar</t>
        </is>
      </c>
    </row>
    <row r="79">
      <c r="A79" t="n">
        <v>297455735</v>
      </c>
      <c r="B79" t="inlineStr">
        <is>
          <t>DSX 1 (2026)</t>
        </is>
      </c>
      <c r="C79" t="inlineStr">
        <is>
          <t>Marin</t>
        </is>
      </c>
      <c r="D79" t="inlineStr">
        <is>
          <t>M</t>
        </is>
      </c>
      <c r="E79" s="9" t="n">
        <v>165</v>
      </c>
      <c r="F79" s="9" t="n">
        <v>178</v>
      </c>
      <c r="G79" t="inlineStr">
        <is>
          <t>Guía Marin 2022 (PDF)</t>
        </is>
      </c>
      <c r="H79" s="9" t="inlineStr">
        <is>
          <t>Completo</t>
        </is>
      </c>
      <c r="I79" t="inlineStr">
        <is>
          <t>A verificar</t>
        </is>
      </c>
    </row>
    <row r="80">
      <c r="A80" t="n">
        <v>297455735</v>
      </c>
      <c r="B80" t="inlineStr">
        <is>
          <t>DSX 1 (2026)</t>
        </is>
      </c>
      <c r="C80" t="inlineStr">
        <is>
          <t>Marin</t>
        </is>
      </c>
      <c r="D80" t="inlineStr">
        <is>
          <t>L</t>
        </is>
      </c>
      <c r="E80" s="9" t="n">
        <v>175</v>
      </c>
      <c r="F80" s="9" t="n">
        <v>188</v>
      </c>
      <c r="G80" t="inlineStr">
        <is>
          <t>Guía Marin 2022 (PDF)</t>
        </is>
      </c>
      <c r="H80" s="9" t="inlineStr">
        <is>
          <t>Completo</t>
        </is>
      </c>
      <c r="I80" t="inlineStr">
        <is>
          <t>A verificar</t>
        </is>
      </c>
    </row>
    <row r="81">
      <c r="A81" t="n">
        <v>297455735</v>
      </c>
      <c r="B81" t="inlineStr">
        <is>
          <t>DSX 1 (2026)</t>
        </is>
      </c>
      <c r="C81" t="inlineStr">
        <is>
          <t>Marin</t>
        </is>
      </c>
      <c r="D81" t="inlineStr">
        <is>
          <t>XL</t>
        </is>
      </c>
      <c r="E81" s="9" t="n">
        <v>185</v>
      </c>
      <c r="F81" s="9" t="n">
        <v>196</v>
      </c>
      <c r="G81" t="inlineStr">
        <is>
          <t>Guía Marin 2022 (PDF)</t>
        </is>
      </c>
      <c r="H81" s="9" t="inlineStr">
        <is>
          <t>Completo</t>
        </is>
      </c>
      <c r="I81" t="inlineStr">
        <is>
          <t>A verificar</t>
        </is>
      </c>
    </row>
    <row r="82">
      <c r="A82" t="n">
        <v>297486793</v>
      </c>
      <c r="B82" t="inlineStr">
        <is>
          <t>DSX 2 (2026)</t>
        </is>
      </c>
      <c r="C82" t="inlineStr">
        <is>
          <t>Marin</t>
        </is>
      </c>
      <c r="D82" t="inlineStr">
        <is>
          <t>S</t>
        </is>
      </c>
      <c r="E82" s="9" t="n">
        <v>157</v>
      </c>
      <c r="F82" s="9" t="n">
        <v>168</v>
      </c>
      <c r="G82" t="inlineStr">
        <is>
          <t>Guía Marin 2022 (PDF)</t>
        </is>
      </c>
      <c r="H82" s="9" t="inlineStr">
        <is>
          <t>Completo</t>
        </is>
      </c>
      <c r="I82" t="inlineStr">
        <is>
          <t>A verificar</t>
        </is>
      </c>
    </row>
    <row r="83">
      <c r="A83" t="n">
        <v>297486793</v>
      </c>
      <c r="B83" t="inlineStr">
        <is>
          <t>DSX 2 (2026)</t>
        </is>
      </c>
      <c r="C83" t="inlineStr">
        <is>
          <t>Marin</t>
        </is>
      </c>
      <c r="D83" t="inlineStr">
        <is>
          <t>M</t>
        </is>
      </c>
      <c r="E83" s="9" t="n">
        <v>165</v>
      </c>
      <c r="F83" s="9" t="n">
        <v>178</v>
      </c>
      <c r="G83" t="inlineStr">
        <is>
          <t>Guía Marin 2022 (PDF)</t>
        </is>
      </c>
      <c r="H83" s="9" t="inlineStr">
        <is>
          <t>Completo</t>
        </is>
      </c>
      <c r="I83" t="inlineStr">
        <is>
          <t>A verificar</t>
        </is>
      </c>
    </row>
    <row r="84">
      <c r="A84" t="n">
        <v>297486793</v>
      </c>
      <c r="B84" t="inlineStr">
        <is>
          <t>DSX 2 (2026)</t>
        </is>
      </c>
      <c r="C84" t="inlineStr">
        <is>
          <t>Marin</t>
        </is>
      </c>
      <c r="D84" t="inlineStr">
        <is>
          <t>L</t>
        </is>
      </c>
      <c r="E84" s="9" t="n">
        <v>175</v>
      </c>
      <c r="F84" s="9" t="n">
        <v>188</v>
      </c>
      <c r="G84" t="inlineStr">
        <is>
          <t>Guía Marin 2022 (PDF)</t>
        </is>
      </c>
      <c r="H84" s="9" t="inlineStr">
        <is>
          <t>Completo</t>
        </is>
      </c>
      <c r="I84" t="inlineStr">
        <is>
          <t>A verificar</t>
        </is>
      </c>
    </row>
    <row r="85">
      <c r="A85" t="n">
        <v>297486793</v>
      </c>
      <c r="B85" t="inlineStr">
        <is>
          <t>DSX 2 (2026)</t>
        </is>
      </c>
      <c r="C85" t="inlineStr">
        <is>
          <t>Marin</t>
        </is>
      </c>
      <c r="D85" t="inlineStr">
        <is>
          <t>XL</t>
        </is>
      </c>
      <c r="E85" s="9" t="n">
        <v>185</v>
      </c>
      <c r="F85" s="9" t="n">
        <v>196</v>
      </c>
      <c r="G85" t="inlineStr">
        <is>
          <t>Guía Marin 2022 (PDF)</t>
        </is>
      </c>
      <c r="H85" s="9" t="inlineStr">
        <is>
          <t>Completo</t>
        </is>
      </c>
      <c r="I85" t="inlineStr">
        <is>
          <t>A verificar</t>
        </is>
      </c>
    </row>
    <row r="86">
      <c r="A86" t="n">
        <v>351124297</v>
      </c>
      <c r="B86" t="inlineStr">
        <is>
          <t>Gestalt (2026)</t>
        </is>
      </c>
      <c r="C86" t="inlineStr">
        <is>
          <t>Marin</t>
        </is>
      </c>
      <c r="D86" t="inlineStr">
        <is>
          <t>50</t>
        </is>
      </c>
      <c r="E86" s="9" t="n">
        <v>152</v>
      </c>
      <c r="F86" s="9" t="n">
        <v>160</v>
      </c>
      <c r="G86" t="inlineStr">
        <is>
          <t>Guía Marin 2022 (PDF)</t>
        </is>
      </c>
      <c r="H86" s="9" t="inlineStr">
        <is>
          <t>Completo</t>
        </is>
      </c>
      <c r="I86" t="inlineStr">
        <is>
          <t>A verificar</t>
        </is>
      </c>
    </row>
    <row r="87">
      <c r="A87" t="n">
        <v>351124297</v>
      </c>
      <c r="B87" t="inlineStr">
        <is>
          <t>Gestalt (2026)</t>
        </is>
      </c>
      <c r="C87" t="inlineStr">
        <is>
          <t>Marin</t>
        </is>
      </c>
      <c r="D87" t="inlineStr">
        <is>
          <t>52</t>
        </is>
      </c>
      <c r="E87" s="9" t="n">
        <v>157</v>
      </c>
      <c r="F87" s="9" t="n">
        <v>165</v>
      </c>
      <c r="G87" t="inlineStr">
        <is>
          <t>Guía Marin 2022 (PDF)</t>
        </is>
      </c>
      <c r="H87" s="9" t="inlineStr">
        <is>
          <t>Completo</t>
        </is>
      </c>
      <c r="I87" t="inlineStr">
        <is>
          <t>A verificar</t>
        </is>
      </c>
    </row>
    <row r="88">
      <c r="A88" t="n">
        <v>351124297</v>
      </c>
      <c r="B88" t="inlineStr">
        <is>
          <t>Gestalt (2026)</t>
        </is>
      </c>
      <c r="C88" t="inlineStr">
        <is>
          <t>Marin</t>
        </is>
      </c>
      <c r="D88" t="inlineStr">
        <is>
          <t>54</t>
        </is>
      </c>
      <c r="E88" s="9" t="n">
        <v>163</v>
      </c>
      <c r="F88" s="9" t="n">
        <v>175</v>
      </c>
      <c r="G88" t="inlineStr">
        <is>
          <t>Guía Marin 2022 (PDF)</t>
        </is>
      </c>
      <c r="H88" s="9" t="inlineStr">
        <is>
          <t>Completo</t>
        </is>
      </c>
      <c r="I88" t="inlineStr">
        <is>
          <t>A verificar</t>
        </is>
      </c>
    </row>
    <row r="89">
      <c r="A89" t="n">
        <v>351124297</v>
      </c>
      <c r="B89" t="inlineStr">
        <is>
          <t>Gestalt (2026)</t>
        </is>
      </c>
      <c r="C89" t="inlineStr">
        <is>
          <t>Marin</t>
        </is>
      </c>
      <c r="D89" t="inlineStr">
        <is>
          <t>56</t>
        </is>
      </c>
      <c r="E89" s="9" t="n">
        <v>173</v>
      </c>
      <c r="F89" s="9" t="n">
        <v>183</v>
      </c>
      <c r="G89" t="inlineStr">
        <is>
          <t>Guía Marin 2022 (PDF)</t>
        </is>
      </c>
      <c r="H89" s="9" t="inlineStr">
        <is>
          <t>Completo</t>
        </is>
      </c>
      <c r="I89" t="inlineStr">
        <is>
          <t>A verificar</t>
        </is>
      </c>
    </row>
    <row r="90">
      <c r="A90" t="n">
        <v>351124297</v>
      </c>
      <c r="B90" t="inlineStr">
        <is>
          <t>Gestalt (2026)</t>
        </is>
      </c>
      <c r="C90" t="inlineStr">
        <is>
          <t>Marin</t>
        </is>
      </c>
      <c r="D90" t="inlineStr">
        <is>
          <t>58</t>
        </is>
      </c>
      <c r="E90" s="9" t="n">
        <v>180</v>
      </c>
      <c r="F90" s="9" t="n">
        <v>188</v>
      </c>
      <c r="G90" t="inlineStr">
        <is>
          <t>Guía Marin 2022 (PDF)</t>
        </is>
      </c>
      <c r="H90" s="9" t="inlineStr">
        <is>
          <t>Completo</t>
        </is>
      </c>
      <c r="I90" t="inlineStr">
        <is>
          <t>A verificar</t>
        </is>
      </c>
    </row>
    <row r="91">
      <c r="A91" t="n">
        <v>351124297</v>
      </c>
      <c r="B91" t="inlineStr">
        <is>
          <t>Gestalt (2026)</t>
        </is>
      </c>
      <c r="C91" t="inlineStr">
        <is>
          <t>Marin</t>
        </is>
      </c>
      <c r="D91" t="inlineStr">
        <is>
          <t>60</t>
        </is>
      </c>
      <c r="E91" s="9" t="n">
        <v>185</v>
      </c>
      <c r="F91" s="9" t="n">
        <v>196</v>
      </c>
      <c r="G91" t="inlineStr">
        <is>
          <t>Guía Marin 2022 (PDF)</t>
        </is>
      </c>
      <c r="H91" s="9" t="inlineStr">
        <is>
          <t>Completo</t>
        </is>
      </c>
      <c r="I91" t="inlineStr">
        <is>
          <t>A verificar</t>
        </is>
      </c>
    </row>
    <row r="92">
      <c r="A92" t="n">
        <v>297298148</v>
      </c>
      <c r="B92" t="inlineStr">
        <is>
          <t>Bolinas Ridge 1</t>
        </is>
      </c>
      <c r="C92" t="inlineStr">
        <is>
          <t>Marin</t>
        </is>
      </c>
      <c r="D92" t="inlineStr">
        <is>
          <t>M (ROD29)</t>
        </is>
      </c>
      <c r="E92" s="10" t="n">
        <v>163</v>
      </c>
      <c r="F92" s="10" t="n">
        <v>178</v>
      </c>
      <c r="G92" t="inlineStr">
        <is>
          <t>Guía Marin 2022 (PDF)</t>
        </is>
      </c>
      <c r="H92" s="10" t="inlineStr">
        <is>
          <t>Estimado: guía 'Growing Wheel Size'</t>
        </is>
      </c>
      <c r="I92" t="inlineStr">
        <is>
          <t>A verificar</t>
        </is>
      </c>
    </row>
    <row r="93">
      <c r="A93" t="n">
        <v>297298148</v>
      </c>
      <c r="B93" t="inlineStr">
        <is>
          <t>Bolinas Ridge 1</t>
        </is>
      </c>
      <c r="C93" t="inlineStr">
        <is>
          <t>Marin</t>
        </is>
      </c>
      <c r="D93" t="inlineStr">
        <is>
          <t>L (ROD29)</t>
        </is>
      </c>
      <c r="E93" s="10" t="n">
        <v>175</v>
      </c>
      <c r="F93" s="10" t="n">
        <v>185</v>
      </c>
      <c r="G93" t="inlineStr">
        <is>
          <t>Guía Marin 2022 (PDF)</t>
        </is>
      </c>
      <c r="H93" s="10" t="inlineStr">
        <is>
          <t>Estimado: guía 'Growing Wheel Size'</t>
        </is>
      </c>
      <c r="I93" t="inlineStr">
        <is>
          <t>A verificar</t>
        </is>
      </c>
    </row>
    <row r="94">
      <c r="A94" t="n">
        <v>297298148</v>
      </c>
      <c r="B94" t="inlineStr">
        <is>
          <t>Bolinas Ridge 1</t>
        </is>
      </c>
      <c r="C94" t="inlineStr">
        <is>
          <t>Marin</t>
        </is>
      </c>
      <c r="D94" t="inlineStr">
        <is>
          <t>XL (ROD29)</t>
        </is>
      </c>
      <c r="E94" s="10" t="n">
        <v>183</v>
      </c>
      <c r="F94" s="10" t="n">
        <v>193</v>
      </c>
      <c r="G94" t="inlineStr">
        <is>
          <t>Guía Marin 2022 (PDF)</t>
        </is>
      </c>
      <c r="H94" s="10" t="inlineStr">
        <is>
          <t>Estimado: guía 'Growing Wheel Size'</t>
        </is>
      </c>
      <c r="I94" t="inlineStr">
        <is>
          <t>A verificar</t>
        </is>
      </c>
    </row>
    <row r="95">
      <c r="A95" t="n">
        <v>297298255</v>
      </c>
      <c r="B95" t="inlineStr">
        <is>
          <t>Bolinas Ridge 2</t>
        </is>
      </c>
      <c r="C95" t="inlineStr">
        <is>
          <t>Marin</t>
        </is>
      </c>
      <c r="D95" t="inlineStr">
        <is>
          <t>XS (ROD27,5)</t>
        </is>
      </c>
      <c r="E95" s="10" t="n">
        <v>146</v>
      </c>
      <c r="F95" s="10" t="n">
        <v>157</v>
      </c>
      <c r="G95" t="inlineStr">
        <is>
          <t>Guía Marin 2022 (PDF)</t>
        </is>
      </c>
      <c r="H95" s="10" t="inlineStr">
        <is>
          <t>Estimado: guía 'Growing Wheel Size'</t>
        </is>
      </c>
      <c r="I95" t="inlineStr">
        <is>
          <t>A verificar</t>
        </is>
      </c>
    </row>
    <row r="96">
      <c r="A96" t="n">
        <v>297298255</v>
      </c>
      <c r="B96" t="inlineStr">
        <is>
          <t>Bolinas Ridge 2</t>
        </is>
      </c>
      <c r="C96" t="inlineStr">
        <is>
          <t>Marin</t>
        </is>
      </c>
      <c r="D96" t="inlineStr">
        <is>
          <t>S (ROD27,5)</t>
        </is>
      </c>
      <c r="E96" s="10" t="n">
        <v>157</v>
      </c>
      <c r="F96" s="10" t="n">
        <v>165</v>
      </c>
      <c r="G96" t="inlineStr">
        <is>
          <t>Guía Marin 2022 (PDF)</t>
        </is>
      </c>
      <c r="H96" s="10" t="inlineStr">
        <is>
          <t>Estimado: guía 'Growing Wheel Size'</t>
        </is>
      </c>
      <c r="I96" t="inlineStr">
        <is>
          <t>A verificar</t>
        </is>
      </c>
    </row>
    <row r="97">
      <c r="A97" t="n">
        <v>297298255</v>
      </c>
      <c r="B97" t="inlineStr">
        <is>
          <t>Bolinas Ridge 2</t>
        </is>
      </c>
      <c r="C97" t="inlineStr">
        <is>
          <t>Marin</t>
        </is>
      </c>
      <c r="D97" t="inlineStr">
        <is>
          <t>M (ROD29)</t>
        </is>
      </c>
      <c r="E97" s="10" t="n">
        <v>163</v>
      </c>
      <c r="F97" s="10" t="n">
        <v>178</v>
      </c>
      <c r="G97" t="inlineStr">
        <is>
          <t>Guía Marin 2022 (PDF)</t>
        </is>
      </c>
      <c r="H97" s="10" t="inlineStr">
        <is>
          <t>Estimado: guía 'Growing Wheel Size'</t>
        </is>
      </c>
      <c r="I97" t="inlineStr">
        <is>
          <t>A verificar</t>
        </is>
      </c>
    </row>
    <row r="98">
      <c r="A98" t="n">
        <v>297298255</v>
      </c>
      <c r="B98" t="inlineStr">
        <is>
          <t>Bolinas Ridge 2</t>
        </is>
      </c>
      <c r="C98" t="inlineStr">
        <is>
          <t>Marin</t>
        </is>
      </c>
      <c r="D98" t="inlineStr">
        <is>
          <t>L (ROD29)</t>
        </is>
      </c>
      <c r="E98" s="10" t="n">
        <v>175</v>
      </c>
      <c r="F98" s="10" t="n">
        <v>185</v>
      </c>
      <c r="G98" t="inlineStr">
        <is>
          <t>Guía Marin 2022 (PDF)</t>
        </is>
      </c>
      <c r="H98" s="10" t="inlineStr">
        <is>
          <t>Estimado: guía 'Growing Wheel Size'</t>
        </is>
      </c>
      <c r="I98" t="inlineStr">
        <is>
          <t>A verificar</t>
        </is>
      </c>
    </row>
    <row r="99">
      <c r="A99" t="n">
        <v>297298255</v>
      </c>
      <c r="B99" t="inlineStr">
        <is>
          <t>Bolinas Ridge 2</t>
        </is>
      </c>
      <c r="C99" t="inlineStr">
        <is>
          <t>Marin</t>
        </is>
      </c>
      <c r="D99" t="inlineStr">
        <is>
          <t>XL (ROD29)</t>
        </is>
      </c>
      <c r="E99" s="10" t="n">
        <v>183</v>
      </c>
      <c r="F99" s="10" t="n">
        <v>193</v>
      </c>
      <c r="G99" t="inlineStr">
        <is>
          <t>Guía Marin 2022 (PDF)</t>
        </is>
      </c>
      <c r="H99" s="10" t="inlineStr">
        <is>
          <t>Estimado: guía 'Growing Wheel Size'</t>
        </is>
      </c>
      <c r="I99" t="inlineStr">
        <is>
          <t>A verificar</t>
        </is>
      </c>
    </row>
    <row r="100">
      <c r="A100" t="n">
        <v>297318978</v>
      </c>
      <c r="B100" t="inlineStr">
        <is>
          <t>Bobcat Trail 4 (2025)</t>
        </is>
      </c>
      <c r="C100" t="inlineStr">
        <is>
          <t>Marin</t>
        </is>
      </c>
      <c r="D100" t="inlineStr">
        <is>
          <t>M (ROD29)</t>
        </is>
      </c>
      <c r="E100" s="10" t="n">
        <v>163</v>
      </c>
      <c r="F100" s="10" t="n">
        <v>178</v>
      </c>
      <c r="G100" t="inlineStr">
        <is>
          <t>Guía Marin 2022 (PDF)</t>
        </is>
      </c>
      <c r="H100" s="10" t="inlineStr">
        <is>
          <t>Estimado: guía 'Growing Wheel Size'</t>
        </is>
      </c>
      <c r="I100" t="inlineStr">
        <is>
          <t>A verificar</t>
        </is>
      </c>
    </row>
    <row r="101">
      <c r="A101" t="n">
        <v>297318978</v>
      </c>
      <c r="B101" t="inlineStr">
        <is>
          <t>Bobcat Trail 4 (2025)</t>
        </is>
      </c>
      <c r="C101" t="inlineStr">
        <is>
          <t>Marin</t>
        </is>
      </c>
      <c r="D101" t="inlineStr">
        <is>
          <t>L (ROD29)</t>
        </is>
      </c>
      <c r="E101" s="10" t="n">
        <v>175</v>
      </c>
      <c r="F101" s="10" t="n">
        <v>185</v>
      </c>
      <c r="G101" t="inlineStr">
        <is>
          <t>Guía Marin 2022 (PDF)</t>
        </is>
      </c>
      <c r="H101" s="10" t="inlineStr">
        <is>
          <t>Estimado: guía 'Growing Wheel Size'</t>
        </is>
      </c>
      <c r="I101" t="inlineStr">
        <is>
          <t>A verificar</t>
        </is>
      </c>
    </row>
    <row r="102">
      <c r="A102" t="n">
        <v>297318978</v>
      </c>
      <c r="B102" t="inlineStr">
        <is>
          <t>Bobcat Trail 4 (2025)</t>
        </is>
      </c>
      <c r="C102" t="inlineStr">
        <is>
          <t>Marin</t>
        </is>
      </c>
      <c r="D102" t="inlineStr">
        <is>
          <t>XL (ROD29)</t>
        </is>
      </c>
      <c r="E102" s="10" t="n">
        <v>183</v>
      </c>
      <c r="F102" s="10" t="n">
        <v>193</v>
      </c>
      <c r="G102" t="inlineStr">
        <is>
          <t>Guía Marin 2022 (PDF)</t>
        </is>
      </c>
      <c r="H102" s="10" t="inlineStr">
        <is>
          <t>Estimado: guía 'Growing Wheel Size'</t>
        </is>
      </c>
      <c r="I102" t="inlineStr">
        <is>
          <t>A verificar</t>
        </is>
      </c>
    </row>
    <row r="103">
      <c r="A103" t="n">
        <v>353164254</v>
      </c>
      <c r="B103" t="inlineStr">
        <is>
          <t>Bobcat Trail 5 (2025)</t>
        </is>
      </c>
      <c r="C103" t="inlineStr">
        <is>
          <t>Marin</t>
        </is>
      </c>
      <c r="D103" t="inlineStr">
        <is>
          <t>XS</t>
        </is>
      </c>
      <c r="E103" s="10" t="n">
        <v>146</v>
      </c>
      <c r="F103" s="10" t="n">
        <v>157</v>
      </c>
      <c r="G103" t="inlineStr">
        <is>
          <t>Guía Marin 2022 (PDF)</t>
        </is>
      </c>
      <c r="H103" s="10" t="inlineStr">
        <is>
          <t>Estimado: guía 'Growing Wheel Size'</t>
        </is>
      </c>
      <c r="I103" t="inlineStr">
        <is>
          <t>A verificar</t>
        </is>
      </c>
    </row>
    <row r="104">
      <c r="A104" t="n">
        <v>353164254</v>
      </c>
      <c r="B104" t="inlineStr">
        <is>
          <t>Bobcat Trail 5 (2025)</t>
        </is>
      </c>
      <c r="C104" t="inlineStr">
        <is>
          <t>Marin</t>
        </is>
      </c>
      <c r="D104" t="inlineStr">
        <is>
          <t>S</t>
        </is>
      </c>
      <c r="E104" s="10" t="n">
        <v>157</v>
      </c>
      <c r="F104" s="10" t="n">
        <v>165</v>
      </c>
      <c r="G104" t="inlineStr">
        <is>
          <t>Guía Marin 2022 (PDF)</t>
        </is>
      </c>
      <c r="H104" s="10" t="inlineStr">
        <is>
          <t>Estimado: guía 'Growing Wheel Size'</t>
        </is>
      </c>
      <c r="I104" t="inlineStr">
        <is>
          <t>A verificar</t>
        </is>
      </c>
    </row>
    <row r="105">
      <c r="A105" t="n">
        <v>353164254</v>
      </c>
      <c r="B105" t="inlineStr">
        <is>
          <t>Bobcat Trail 5 (2025)</t>
        </is>
      </c>
      <c r="C105" t="inlineStr">
        <is>
          <t>Marin</t>
        </is>
      </c>
      <c r="D105" t="inlineStr">
        <is>
          <t>M</t>
        </is>
      </c>
      <c r="E105" s="10" t="n">
        <v>163</v>
      </c>
      <c r="F105" s="10" t="n">
        <v>178</v>
      </c>
      <c r="G105" t="inlineStr">
        <is>
          <t>Guía Marin 2022 (PDF)</t>
        </is>
      </c>
      <c r="H105" s="10" t="inlineStr">
        <is>
          <t>Estimado: guía 'Growing Wheel Size'</t>
        </is>
      </c>
      <c r="I105" t="inlineStr">
        <is>
          <t>A verificar</t>
        </is>
      </c>
    </row>
    <row r="106">
      <c r="A106" t="n">
        <v>353164254</v>
      </c>
      <c r="B106" t="inlineStr">
        <is>
          <t>Bobcat Trail 5 (2025)</t>
        </is>
      </c>
      <c r="C106" t="inlineStr">
        <is>
          <t>Marin</t>
        </is>
      </c>
      <c r="D106" t="inlineStr">
        <is>
          <t>L</t>
        </is>
      </c>
      <c r="E106" s="10" t="n">
        <v>175</v>
      </c>
      <c r="F106" s="10" t="n">
        <v>185</v>
      </c>
      <c r="G106" t="inlineStr">
        <is>
          <t>Guía Marin 2022 (PDF)</t>
        </is>
      </c>
      <c r="H106" s="10" t="inlineStr">
        <is>
          <t>Estimado: guía 'Growing Wheel Size'</t>
        </is>
      </c>
      <c r="I106" t="inlineStr">
        <is>
          <t>A verificar</t>
        </is>
      </c>
    </row>
    <row r="107">
      <c r="A107" t="n">
        <v>353164254</v>
      </c>
      <c r="B107" t="inlineStr">
        <is>
          <t>Bobcat Trail 5 (2025)</t>
        </is>
      </c>
      <c r="C107" t="inlineStr">
        <is>
          <t>Marin</t>
        </is>
      </c>
      <c r="D107" t="inlineStr">
        <is>
          <t>XL</t>
        </is>
      </c>
      <c r="E107" s="10" t="n">
        <v>183</v>
      </c>
      <c r="F107" s="10" t="n">
        <v>193</v>
      </c>
      <c r="G107" t="inlineStr">
        <is>
          <t>Guía Marin 2022 (PDF)</t>
        </is>
      </c>
      <c r="H107" s="10" t="inlineStr">
        <is>
          <t>Estimado: guía 'Growing Wheel Size'</t>
        </is>
      </c>
      <c r="I107" t="inlineStr">
        <is>
          <t>A verificar</t>
        </is>
      </c>
    </row>
    <row r="108">
      <c r="A108" t="n">
        <v>297327810</v>
      </c>
      <c r="B108" t="inlineStr">
        <is>
          <t>San Quentin 1</t>
        </is>
      </c>
      <c r="C108" t="inlineStr">
        <is>
          <t>Marin</t>
        </is>
      </c>
      <c r="D108" t="inlineStr">
        <is>
          <t>S (ROD27,5)</t>
        </is>
      </c>
      <c r="E108" s="10" t="n">
        <v>157</v>
      </c>
      <c r="F108" s="10" t="n">
        <v>165</v>
      </c>
      <c r="G108" t="inlineStr">
        <is>
          <t>Guía Marin 2022 (PDF)</t>
        </is>
      </c>
      <c r="H108" s="10" t="inlineStr">
        <is>
          <t>Estimado: guía 'Growing Wheel Size'</t>
        </is>
      </c>
      <c r="I108" t="inlineStr">
        <is>
          <t>A verificar</t>
        </is>
      </c>
    </row>
    <row r="109">
      <c r="A109" t="n">
        <v>297327810</v>
      </c>
      <c r="B109" t="inlineStr">
        <is>
          <t>San Quentin 1</t>
        </is>
      </c>
      <c r="C109" t="inlineStr">
        <is>
          <t>Marin</t>
        </is>
      </c>
      <c r="D109" t="inlineStr">
        <is>
          <t>M (ROD29)</t>
        </is>
      </c>
      <c r="E109" s="10" t="n">
        <v>163</v>
      </c>
      <c r="F109" s="10" t="n">
        <v>178</v>
      </c>
      <c r="G109" t="inlineStr">
        <is>
          <t>Guía Marin 2022 (PDF)</t>
        </is>
      </c>
      <c r="H109" s="10" t="inlineStr">
        <is>
          <t>Estimado: guía 'Growing Wheel Size'</t>
        </is>
      </c>
      <c r="I109" t="inlineStr">
        <is>
          <t>A verificar</t>
        </is>
      </c>
    </row>
    <row r="110">
      <c r="A110" t="n">
        <v>297327810</v>
      </c>
      <c r="B110" t="inlineStr">
        <is>
          <t>San Quentin 1</t>
        </is>
      </c>
      <c r="C110" t="inlineStr">
        <is>
          <t>Marin</t>
        </is>
      </c>
      <c r="D110" t="inlineStr">
        <is>
          <t>L (ROD29)</t>
        </is>
      </c>
      <c r="E110" s="10" t="n">
        <v>175</v>
      </c>
      <c r="F110" s="10" t="n">
        <v>185</v>
      </c>
      <c r="G110" t="inlineStr">
        <is>
          <t>Guía Marin 2022 (PDF)</t>
        </is>
      </c>
      <c r="H110" s="10" t="inlineStr">
        <is>
          <t>Estimado: guía 'Growing Wheel Size'</t>
        </is>
      </c>
      <c r="I110" t="inlineStr">
        <is>
          <t>A verificar</t>
        </is>
      </c>
    </row>
    <row r="111">
      <c r="A111" t="n">
        <v>297327810</v>
      </c>
      <c r="B111" t="inlineStr">
        <is>
          <t>San Quentin 1</t>
        </is>
      </c>
      <c r="C111" t="inlineStr">
        <is>
          <t>Marin</t>
        </is>
      </c>
      <c r="D111" t="inlineStr">
        <is>
          <t>XL (ROD29)</t>
        </is>
      </c>
      <c r="E111" s="10" t="n">
        <v>183</v>
      </c>
      <c r="F111" s="10" t="n">
        <v>193</v>
      </c>
      <c r="G111" t="inlineStr">
        <is>
          <t>Guía Marin 2022 (PDF)</t>
        </is>
      </c>
      <c r="H111" s="10" t="inlineStr">
        <is>
          <t>Estimado: guía 'Growing Wheel Size'</t>
        </is>
      </c>
      <c r="I111" t="inlineStr">
        <is>
          <t>A verificar</t>
        </is>
      </c>
    </row>
    <row r="112">
      <c r="A112" t="n">
        <v>354117068</v>
      </c>
      <c r="B112" t="inlineStr">
        <is>
          <t>Pine Mountain 1 - 29</t>
        </is>
      </c>
      <c r="C112" t="inlineStr">
        <is>
          <t>Marin</t>
        </is>
      </c>
      <c r="D112" t="inlineStr">
        <is>
          <t>XS</t>
        </is>
      </c>
      <c r="E112" s="12" t="n"/>
      <c r="F112" s="12" t="n"/>
      <c r="G112" t="inlineStr"/>
      <c r="H112" s="12" t="inlineStr">
        <is>
          <t>COMPLETAR (no está en la guía)</t>
        </is>
      </c>
      <c r="I112" t="inlineStr">
        <is>
          <t>A verificar</t>
        </is>
      </c>
    </row>
    <row r="113">
      <c r="A113" t="n">
        <v>354117068</v>
      </c>
      <c r="B113" t="inlineStr">
        <is>
          <t>Pine Mountain 1 - 29</t>
        </is>
      </c>
      <c r="C113" t="inlineStr">
        <is>
          <t>Marin</t>
        </is>
      </c>
      <c r="D113" t="inlineStr">
        <is>
          <t>S</t>
        </is>
      </c>
      <c r="E113" s="9" t="n">
        <v>160</v>
      </c>
      <c r="F113" s="9" t="n">
        <v>168</v>
      </c>
      <c r="G113" t="inlineStr">
        <is>
          <t>Guía Marin 2022 (PDF)</t>
        </is>
      </c>
      <c r="H113" s="9" t="inlineStr">
        <is>
          <t>Completo</t>
        </is>
      </c>
      <c r="I113" t="inlineStr">
        <is>
          <t>A verificar</t>
        </is>
      </c>
    </row>
    <row r="114">
      <c r="A114" t="n">
        <v>354117068</v>
      </c>
      <c r="B114" t="inlineStr">
        <is>
          <t>Pine Mountain 1 - 29</t>
        </is>
      </c>
      <c r="C114" t="inlineStr">
        <is>
          <t>Marin</t>
        </is>
      </c>
      <c r="D114" t="inlineStr">
        <is>
          <t>M</t>
        </is>
      </c>
      <c r="E114" s="9" t="n">
        <v>165</v>
      </c>
      <c r="F114" s="9" t="n">
        <v>178</v>
      </c>
      <c r="G114" t="inlineStr">
        <is>
          <t>Guía Marin 2022 (PDF)</t>
        </is>
      </c>
      <c r="H114" s="9" t="inlineStr">
        <is>
          <t>Completo</t>
        </is>
      </c>
      <c r="I114" t="inlineStr">
        <is>
          <t>A verificar</t>
        </is>
      </c>
    </row>
    <row r="115">
      <c r="A115" t="n">
        <v>354117068</v>
      </c>
      <c r="B115" t="inlineStr">
        <is>
          <t>Pine Mountain 1 - 29</t>
        </is>
      </c>
      <c r="C115" t="inlineStr">
        <is>
          <t>Marin</t>
        </is>
      </c>
      <c r="D115" t="inlineStr">
        <is>
          <t>L</t>
        </is>
      </c>
      <c r="E115" s="9" t="n">
        <v>175</v>
      </c>
      <c r="F115" s="9" t="n">
        <v>185</v>
      </c>
      <c r="G115" t="inlineStr">
        <is>
          <t>Guía Marin 2022 (PDF)</t>
        </is>
      </c>
      <c r="H115" s="9" t="inlineStr">
        <is>
          <t>Completo</t>
        </is>
      </c>
      <c r="I115" t="inlineStr">
        <is>
          <t>A verificar</t>
        </is>
      </c>
    </row>
    <row r="116">
      <c r="A116" t="n">
        <v>354117068</v>
      </c>
      <c r="B116" t="inlineStr">
        <is>
          <t>Pine Mountain 1 - 29</t>
        </is>
      </c>
      <c r="C116" t="inlineStr">
        <is>
          <t>Marin</t>
        </is>
      </c>
      <c r="D116" t="inlineStr">
        <is>
          <t>XL</t>
        </is>
      </c>
      <c r="E116" s="9" t="n">
        <v>183</v>
      </c>
      <c r="F116" s="9" t="n">
        <v>193</v>
      </c>
      <c r="G116" t="inlineStr">
        <is>
          <t>Guía Marin 2022 (PDF)</t>
        </is>
      </c>
      <c r="H116" s="9" t="inlineStr">
        <is>
          <t>Completo</t>
        </is>
      </c>
      <c r="I116" t="inlineStr">
        <is>
          <t>A verificar</t>
        </is>
      </c>
    </row>
    <row r="117">
      <c r="A117" t="n">
        <v>354117137</v>
      </c>
      <c r="B117" t="inlineStr">
        <is>
          <t>Team Marin 1</t>
        </is>
      </c>
      <c r="C117" t="inlineStr">
        <is>
          <t>Marin</t>
        </is>
      </c>
      <c r="D117" t="inlineStr">
        <is>
          <t>XS</t>
        </is>
      </c>
      <c r="E117" s="12" t="n"/>
      <c r="F117" s="12" t="n"/>
      <c r="G117" t="inlineStr"/>
      <c r="H117" s="12" t="inlineStr">
        <is>
          <t>COMPLETAR (no está en la guía)</t>
        </is>
      </c>
      <c r="I117" t="inlineStr">
        <is>
          <t>A verificar</t>
        </is>
      </c>
    </row>
    <row r="118">
      <c r="A118" t="n">
        <v>354117137</v>
      </c>
      <c r="B118" t="inlineStr">
        <is>
          <t>Team Marin 1</t>
        </is>
      </c>
      <c r="C118" t="inlineStr">
        <is>
          <t>Marin</t>
        </is>
      </c>
      <c r="D118" t="inlineStr">
        <is>
          <t>S</t>
        </is>
      </c>
      <c r="E118" s="10" t="n">
        <v>160</v>
      </c>
      <c r="F118" s="10" t="n">
        <v>168</v>
      </c>
      <c r="G118" t="inlineStr">
        <is>
          <t>Guía Marin 2022 (PDF)</t>
        </is>
      </c>
      <c r="H118" s="10" t="inlineStr">
        <is>
          <t>Estimado: guía 'Hardtail 29'</t>
        </is>
      </c>
      <c r="I118" t="inlineStr">
        <is>
          <t>A verificar</t>
        </is>
      </c>
    </row>
    <row r="119">
      <c r="A119" t="n">
        <v>354117137</v>
      </c>
      <c r="B119" t="inlineStr">
        <is>
          <t>Team Marin 1</t>
        </is>
      </c>
      <c r="C119" t="inlineStr">
        <is>
          <t>Marin</t>
        </is>
      </c>
      <c r="D119" t="inlineStr">
        <is>
          <t>M</t>
        </is>
      </c>
      <c r="E119" s="10" t="n">
        <v>165</v>
      </c>
      <c r="F119" s="10" t="n">
        <v>178</v>
      </c>
      <c r="G119" t="inlineStr">
        <is>
          <t>Guía Marin 2022 (PDF)</t>
        </is>
      </c>
      <c r="H119" s="10" t="inlineStr">
        <is>
          <t>Estimado: guía 'Hardtail 29'</t>
        </is>
      </c>
      <c r="I119" t="inlineStr">
        <is>
          <t>A verificar</t>
        </is>
      </c>
    </row>
    <row r="120">
      <c r="A120" t="n">
        <v>354117137</v>
      </c>
      <c r="B120" t="inlineStr">
        <is>
          <t>Team Marin 1</t>
        </is>
      </c>
      <c r="C120" t="inlineStr">
        <is>
          <t>Marin</t>
        </is>
      </c>
      <c r="D120" t="inlineStr">
        <is>
          <t>L</t>
        </is>
      </c>
      <c r="E120" s="10" t="n">
        <v>175</v>
      </c>
      <c r="F120" s="10" t="n">
        <v>185</v>
      </c>
      <c r="G120" t="inlineStr">
        <is>
          <t>Guía Marin 2022 (PDF)</t>
        </is>
      </c>
      <c r="H120" s="10" t="inlineStr">
        <is>
          <t>Estimado: guía 'Hardtail 29'</t>
        </is>
      </c>
      <c r="I120" t="inlineStr">
        <is>
          <t>A verificar</t>
        </is>
      </c>
    </row>
    <row r="121">
      <c r="A121" t="n">
        <v>354117137</v>
      </c>
      <c r="B121" t="inlineStr">
        <is>
          <t>Team Marin 1</t>
        </is>
      </c>
      <c r="C121" t="inlineStr">
        <is>
          <t>Marin</t>
        </is>
      </c>
      <c r="D121" t="inlineStr">
        <is>
          <t>XL</t>
        </is>
      </c>
      <c r="E121" s="10" t="n">
        <v>183</v>
      </c>
      <c r="F121" s="10" t="n">
        <v>193</v>
      </c>
      <c r="G121" t="inlineStr">
        <is>
          <t>Guía Marin 2022 (PDF)</t>
        </is>
      </c>
      <c r="H121" s="10" t="inlineStr">
        <is>
          <t>Estimado: guía 'Hardtail 29'</t>
        </is>
      </c>
      <c r="I121" t="inlineStr">
        <is>
          <t>A verificar</t>
        </is>
      </c>
    </row>
    <row r="122">
      <c r="A122" t="n">
        <v>352623351</v>
      </c>
      <c r="B122" t="inlineStr">
        <is>
          <t>Rift Zone 1 (2026)</t>
        </is>
      </c>
      <c r="C122" t="inlineStr">
        <is>
          <t>Marin</t>
        </is>
      </c>
      <c r="D122" t="inlineStr">
        <is>
          <t>XS(27,5")</t>
        </is>
      </c>
      <c r="E122" s="9" t="n">
        <v>152</v>
      </c>
      <c r="F122" s="9" t="n">
        <v>163</v>
      </c>
      <c r="G122" t="inlineStr">
        <is>
          <t>Guía Marin 2022 (PDF)</t>
        </is>
      </c>
      <c r="H122" s="9" t="inlineStr">
        <is>
          <t>Completo</t>
        </is>
      </c>
      <c r="I122" t="inlineStr">
        <is>
          <t>A verificar</t>
        </is>
      </c>
    </row>
    <row r="123">
      <c r="A123" t="n">
        <v>352623351</v>
      </c>
      <c r="B123" t="inlineStr">
        <is>
          <t>Rift Zone 1 (2026)</t>
        </is>
      </c>
      <c r="C123" t="inlineStr">
        <is>
          <t>Marin</t>
        </is>
      </c>
      <c r="D123" t="inlineStr">
        <is>
          <t>S(27,5")</t>
        </is>
      </c>
      <c r="E123" s="9" t="n">
        <v>160</v>
      </c>
      <c r="F123" s="9" t="n">
        <v>170</v>
      </c>
      <c r="G123" t="inlineStr">
        <is>
          <t>Guía Marin 2022 (PDF)</t>
        </is>
      </c>
      <c r="H123" s="9" t="inlineStr">
        <is>
          <t>Completo</t>
        </is>
      </c>
      <c r="I123" t="inlineStr">
        <is>
          <t>A verificar</t>
        </is>
      </c>
    </row>
    <row r="124">
      <c r="A124" t="n">
        <v>352623351</v>
      </c>
      <c r="B124" t="inlineStr">
        <is>
          <t>Rift Zone 1 (2026)</t>
        </is>
      </c>
      <c r="C124" t="inlineStr">
        <is>
          <t>Marin</t>
        </is>
      </c>
      <c r="D124" t="inlineStr">
        <is>
          <t>M(29")</t>
        </is>
      </c>
      <c r="E124" s="9" t="n">
        <v>168</v>
      </c>
      <c r="F124" s="9" t="n">
        <v>180</v>
      </c>
      <c r="G124" t="inlineStr">
        <is>
          <t>Guía Marin 2022 (PDF)</t>
        </is>
      </c>
      <c r="H124" s="9" t="inlineStr">
        <is>
          <t>Completo</t>
        </is>
      </c>
      <c r="I124" t="inlineStr">
        <is>
          <t>A verificar</t>
        </is>
      </c>
    </row>
    <row r="125">
      <c r="A125" t="n">
        <v>352623351</v>
      </c>
      <c r="B125" t="inlineStr">
        <is>
          <t>Rift Zone 1 (2026)</t>
        </is>
      </c>
      <c r="C125" t="inlineStr">
        <is>
          <t>Marin</t>
        </is>
      </c>
      <c r="D125" t="inlineStr">
        <is>
          <t>L(29")</t>
        </is>
      </c>
      <c r="E125" s="9" t="n">
        <v>178</v>
      </c>
      <c r="F125" s="9" t="n">
        <v>188</v>
      </c>
      <c r="G125" t="inlineStr">
        <is>
          <t>Guía Marin 2022 (PDF)</t>
        </is>
      </c>
      <c r="H125" s="9" t="inlineStr">
        <is>
          <t>Completo</t>
        </is>
      </c>
      <c r="I125" t="inlineStr">
        <is>
          <t>A verificar</t>
        </is>
      </c>
    </row>
    <row r="126">
      <c r="A126" t="n">
        <v>352623351</v>
      </c>
      <c r="B126" t="inlineStr">
        <is>
          <t>Rift Zone 1 (2026)</t>
        </is>
      </c>
      <c r="C126" t="inlineStr">
        <is>
          <t>Marin</t>
        </is>
      </c>
      <c r="D126" t="inlineStr">
        <is>
          <t>XL(29")</t>
        </is>
      </c>
      <c r="E126" s="9" t="n">
        <v>185</v>
      </c>
      <c r="F126" s="9" t="n">
        <v>196</v>
      </c>
      <c r="G126" t="inlineStr">
        <is>
          <t>Guía Marin 2022 (PDF)</t>
        </is>
      </c>
      <c r="H126" s="9" t="inlineStr">
        <is>
          <t>Completo</t>
        </is>
      </c>
      <c r="I126" t="inlineStr">
        <is>
          <t>A verificar</t>
        </is>
      </c>
    </row>
    <row r="127">
      <c r="A127" t="n">
        <v>353164248</v>
      </c>
      <c r="B127" t="inlineStr">
        <is>
          <t>Rift Zone 2 29 (2025)</t>
        </is>
      </c>
      <c r="C127" t="inlineStr">
        <is>
          <t>Marin</t>
        </is>
      </c>
      <c r="D127" t="inlineStr">
        <is>
          <t>XS</t>
        </is>
      </c>
      <c r="E127" s="12" t="n"/>
      <c r="F127" s="12" t="n"/>
      <c r="G127" t="inlineStr"/>
      <c r="H127" s="12" t="inlineStr">
        <is>
          <t>COMPLETAR (no está en la guía)</t>
        </is>
      </c>
      <c r="I127" t="inlineStr">
        <is>
          <t>A verificar</t>
        </is>
      </c>
    </row>
    <row r="128">
      <c r="A128" t="n">
        <v>353164248</v>
      </c>
      <c r="B128" t="inlineStr">
        <is>
          <t>Rift Zone 2 29 (2025)</t>
        </is>
      </c>
      <c r="C128" t="inlineStr">
        <is>
          <t>Marin</t>
        </is>
      </c>
      <c r="D128" t="inlineStr">
        <is>
          <t>S</t>
        </is>
      </c>
      <c r="E128" s="9" t="n">
        <v>160</v>
      </c>
      <c r="F128" s="9" t="n">
        <v>170</v>
      </c>
      <c r="G128" t="inlineStr">
        <is>
          <t>Guía Marin 2022 (PDF)</t>
        </is>
      </c>
      <c r="H128" s="9" t="inlineStr">
        <is>
          <t>Completo</t>
        </is>
      </c>
      <c r="I128" t="inlineStr">
        <is>
          <t>A verificar</t>
        </is>
      </c>
    </row>
    <row r="129">
      <c r="A129" t="n">
        <v>353164248</v>
      </c>
      <c r="B129" t="inlineStr">
        <is>
          <t>Rift Zone 2 29 (2025)</t>
        </is>
      </c>
      <c r="C129" t="inlineStr">
        <is>
          <t>Marin</t>
        </is>
      </c>
      <c r="D129" t="inlineStr">
        <is>
          <t>M</t>
        </is>
      </c>
      <c r="E129" s="9" t="n">
        <v>168</v>
      </c>
      <c r="F129" s="9" t="n">
        <v>180</v>
      </c>
      <c r="G129" t="inlineStr">
        <is>
          <t>Guía Marin 2022 (PDF)</t>
        </is>
      </c>
      <c r="H129" s="9" t="inlineStr">
        <is>
          <t>Completo</t>
        </is>
      </c>
      <c r="I129" t="inlineStr">
        <is>
          <t>A verificar</t>
        </is>
      </c>
    </row>
    <row r="130">
      <c r="A130" t="n">
        <v>353164248</v>
      </c>
      <c r="B130" t="inlineStr">
        <is>
          <t>Rift Zone 2 29 (2025)</t>
        </is>
      </c>
      <c r="C130" t="inlineStr">
        <is>
          <t>Marin</t>
        </is>
      </c>
      <c r="D130" t="inlineStr">
        <is>
          <t>L</t>
        </is>
      </c>
      <c r="E130" s="9" t="n">
        <v>178</v>
      </c>
      <c r="F130" s="9" t="n">
        <v>188</v>
      </c>
      <c r="G130" t="inlineStr">
        <is>
          <t>Guía Marin 2022 (PDF)</t>
        </is>
      </c>
      <c r="H130" s="9" t="inlineStr">
        <is>
          <t>Completo</t>
        </is>
      </c>
      <c r="I130" t="inlineStr">
        <is>
          <t>A verificar</t>
        </is>
      </c>
    </row>
    <row r="131">
      <c r="A131" t="n">
        <v>353164248</v>
      </c>
      <c r="B131" t="inlineStr">
        <is>
          <t>Rift Zone 2 29 (2025)</t>
        </is>
      </c>
      <c r="C131" t="inlineStr">
        <is>
          <t>Marin</t>
        </is>
      </c>
      <c r="D131" t="inlineStr">
        <is>
          <t>XL</t>
        </is>
      </c>
      <c r="E131" s="9" t="n">
        <v>185</v>
      </c>
      <c r="F131" s="9" t="n">
        <v>196</v>
      </c>
      <c r="G131" t="inlineStr">
        <is>
          <t>Guía Marin 2022 (PDF)</t>
        </is>
      </c>
      <c r="H131" s="9" t="inlineStr">
        <is>
          <t>Completo</t>
        </is>
      </c>
      <c r="I131" t="inlineStr">
        <is>
          <t>A verificar</t>
        </is>
      </c>
    </row>
    <row r="132">
      <c r="A132" t="n">
        <v>284282046</v>
      </c>
      <c r="B132" t="inlineStr">
        <is>
          <t>Alpine Trail Carbon 1 (2024)</t>
        </is>
      </c>
      <c r="C132" t="inlineStr">
        <is>
          <t>Marin</t>
        </is>
      </c>
      <c r="D132" t="inlineStr">
        <is>
          <t>XS</t>
        </is>
      </c>
      <c r="E132" s="12" t="n"/>
      <c r="F132" s="12" t="n"/>
      <c r="G132" t="inlineStr"/>
      <c r="H132" s="12" t="inlineStr">
        <is>
          <t>COMPLETAR (no está en la guía)</t>
        </is>
      </c>
      <c r="I132" t="inlineStr">
        <is>
          <t>A verificar</t>
        </is>
      </c>
    </row>
    <row r="133">
      <c r="A133" t="n">
        <v>284282046</v>
      </c>
      <c r="B133" t="inlineStr">
        <is>
          <t>Alpine Trail Carbon 1 (2024)</t>
        </is>
      </c>
      <c r="C133" t="inlineStr">
        <is>
          <t>Marin</t>
        </is>
      </c>
      <c r="D133" t="inlineStr">
        <is>
          <t>S</t>
        </is>
      </c>
      <c r="E133" s="9" t="n">
        <v>160</v>
      </c>
      <c r="F133" s="9" t="n">
        <v>170</v>
      </c>
      <c r="G133" t="inlineStr">
        <is>
          <t>Guía Marin 2022 (PDF)</t>
        </is>
      </c>
      <c r="H133" s="9" t="inlineStr">
        <is>
          <t>Completo</t>
        </is>
      </c>
      <c r="I133" t="inlineStr">
        <is>
          <t>A verificar</t>
        </is>
      </c>
    </row>
    <row r="134">
      <c r="A134" t="n">
        <v>284282046</v>
      </c>
      <c r="B134" t="inlineStr">
        <is>
          <t>Alpine Trail Carbon 1 (2024)</t>
        </is>
      </c>
      <c r="C134" t="inlineStr">
        <is>
          <t>Marin</t>
        </is>
      </c>
      <c r="D134" t="inlineStr">
        <is>
          <t>M</t>
        </is>
      </c>
      <c r="E134" s="9" t="n">
        <v>168</v>
      </c>
      <c r="F134" s="9" t="n">
        <v>180</v>
      </c>
      <c r="G134" t="inlineStr">
        <is>
          <t>Guía Marin 2022 (PDF)</t>
        </is>
      </c>
      <c r="H134" s="9" t="inlineStr">
        <is>
          <t>Completo</t>
        </is>
      </c>
      <c r="I134" t="inlineStr">
        <is>
          <t>A verificar</t>
        </is>
      </c>
    </row>
    <row r="135">
      <c r="A135" t="n">
        <v>284282046</v>
      </c>
      <c r="B135" t="inlineStr">
        <is>
          <t>Alpine Trail Carbon 1 (2024)</t>
        </is>
      </c>
      <c r="C135" t="inlineStr">
        <is>
          <t>Marin</t>
        </is>
      </c>
      <c r="D135" t="inlineStr">
        <is>
          <t>L</t>
        </is>
      </c>
      <c r="E135" s="9" t="n">
        <v>178</v>
      </c>
      <c r="F135" s="9" t="n">
        <v>188</v>
      </c>
      <c r="G135" t="inlineStr">
        <is>
          <t>Guía Marin 2022 (PDF)</t>
        </is>
      </c>
      <c r="H135" s="9" t="inlineStr">
        <is>
          <t>Completo</t>
        </is>
      </c>
      <c r="I135" t="inlineStr">
        <is>
          <t>A verificar</t>
        </is>
      </c>
    </row>
    <row r="136">
      <c r="A136" t="n">
        <v>284282046</v>
      </c>
      <c r="B136" t="inlineStr">
        <is>
          <t>Alpine Trail Carbon 1 (2024)</t>
        </is>
      </c>
      <c r="C136" t="inlineStr">
        <is>
          <t>Marin</t>
        </is>
      </c>
      <c r="D136" t="inlineStr">
        <is>
          <t>XL</t>
        </is>
      </c>
      <c r="E136" s="9" t="n">
        <v>185</v>
      </c>
      <c r="F136" s="9" t="n">
        <v>196</v>
      </c>
      <c r="G136" t="inlineStr">
        <is>
          <t>Guía Marin 2022 (PDF)</t>
        </is>
      </c>
      <c r="H136" s="9" t="inlineStr">
        <is>
          <t>Completo</t>
        </is>
      </c>
      <c r="I136" t="inlineStr">
        <is>
          <t>A verificar</t>
        </is>
      </c>
    </row>
    <row r="137">
      <c r="A137" t="n">
        <v>350943156</v>
      </c>
      <c r="B137" t="inlineStr">
        <is>
          <t>Apine Trail E Shimano</t>
        </is>
      </c>
      <c r="C137" t="inlineStr">
        <is>
          <t>Marin</t>
        </is>
      </c>
      <c r="D137" t="inlineStr">
        <is>
          <t>S</t>
        </is>
      </c>
      <c r="E137" s="9" t="n">
        <v>160</v>
      </c>
      <c r="F137" s="9" t="n">
        <v>170</v>
      </c>
      <c r="G137" t="inlineStr">
        <is>
          <t>Guía Marin 2022 (PDF)</t>
        </is>
      </c>
      <c r="H137" s="9" t="inlineStr">
        <is>
          <t>Completo</t>
        </is>
      </c>
      <c r="I137" t="inlineStr">
        <is>
          <t>A verificar</t>
        </is>
      </c>
    </row>
    <row r="138">
      <c r="A138" t="n">
        <v>350943156</v>
      </c>
      <c r="B138" t="inlineStr">
        <is>
          <t>Apine Trail E Shimano</t>
        </is>
      </c>
      <c r="C138" t="inlineStr">
        <is>
          <t>Marin</t>
        </is>
      </c>
      <c r="D138" t="inlineStr">
        <is>
          <t>M</t>
        </is>
      </c>
      <c r="E138" s="9" t="n">
        <v>168</v>
      </c>
      <c r="F138" s="9" t="n">
        <v>180</v>
      </c>
      <c r="G138" t="inlineStr">
        <is>
          <t>Guía Marin 2022 (PDF)</t>
        </is>
      </c>
      <c r="H138" s="9" t="inlineStr">
        <is>
          <t>Completo</t>
        </is>
      </c>
      <c r="I138" t="inlineStr">
        <is>
          <t>A verificar</t>
        </is>
      </c>
    </row>
    <row r="139">
      <c r="A139" t="n">
        <v>350943156</v>
      </c>
      <c r="B139" t="inlineStr">
        <is>
          <t>Apine Trail E Shimano</t>
        </is>
      </c>
      <c r="C139" t="inlineStr">
        <is>
          <t>Marin</t>
        </is>
      </c>
      <c r="D139" t="inlineStr">
        <is>
          <t>L</t>
        </is>
      </c>
      <c r="E139" s="9" t="n">
        <v>178</v>
      </c>
      <c r="F139" s="9" t="n">
        <v>188</v>
      </c>
      <c r="G139" t="inlineStr">
        <is>
          <t>Guía Marin 2022 (PDF)</t>
        </is>
      </c>
      <c r="H139" s="9" t="inlineStr">
        <is>
          <t>Completo</t>
        </is>
      </c>
      <c r="I139" t="inlineStr">
        <is>
          <t>A verificar</t>
        </is>
      </c>
    </row>
    <row r="140">
      <c r="A140" t="n">
        <v>350943156</v>
      </c>
      <c r="B140" t="inlineStr">
        <is>
          <t>Apine Trail E Shimano</t>
        </is>
      </c>
      <c r="C140" t="inlineStr">
        <is>
          <t>Marin</t>
        </is>
      </c>
      <c r="D140" t="inlineStr">
        <is>
          <t>XL</t>
        </is>
      </c>
      <c r="E140" s="9" t="n">
        <v>185</v>
      </c>
      <c r="F140" s="9" t="n">
        <v>196</v>
      </c>
      <c r="G140" t="inlineStr">
        <is>
          <t>Guía Marin 2022 (PDF)</t>
        </is>
      </c>
      <c r="H140" s="9" t="inlineStr">
        <is>
          <t>Completo</t>
        </is>
      </c>
      <c r="I140" t="inlineStr">
        <is>
          <t>A verificar</t>
        </is>
      </c>
    </row>
    <row r="141">
      <c r="A141" t="n">
        <v>354117181</v>
      </c>
      <c r="B141" t="inlineStr">
        <is>
          <t>Rift Zone E2 SHIMANO (2024)</t>
        </is>
      </c>
      <c r="C141" t="inlineStr">
        <is>
          <t>Marin</t>
        </is>
      </c>
      <c r="D141" t="inlineStr">
        <is>
          <t>XS</t>
        </is>
      </c>
      <c r="E141" s="12" t="n"/>
      <c r="F141" s="12" t="n"/>
      <c r="G141" t="inlineStr"/>
      <c r="H141" s="12" t="inlineStr">
        <is>
          <t>COMPLETAR (no está en la guía)</t>
        </is>
      </c>
      <c r="I141" t="inlineStr">
        <is>
          <t>A verificar</t>
        </is>
      </c>
    </row>
    <row r="142">
      <c r="A142" t="n">
        <v>354117181</v>
      </c>
      <c r="B142" t="inlineStr">
        <is>
          <t>Rift Zone E2 SHIMANO (2024)</t>
        </is>
      </c>
      <c r="C142" t="inlineStr">
        <is>
          <t>Marin</t>
        </is>
      </c>
      <c r="D142" t="inlineStr">
        <is>
          <t>S</t>
        </is>
      </c>
      <c r="E142" s="9" t="n">
        <v>160</v>
      </c>
      <c r="F142" s="9" t="n">
        <v>170</v>
      </c>
      <c r="G142" t="inlineStr">
        <is>
          <t>Guía Marin 2022 (PDF)</t>
        </is>
      </c>
      <c r="H142" s="9" t="inlineStr">
        <is>
          <t>Completo</t>
        </is>
      </c>
      <c r="I142" t="inlineStr">
        <is>
          <t>A verificar</t>
        </is>
      </c>
    </row>
    <row r="143">
      <c r="A143" t="n">
        <v>354117181</v>
      </c>
      <c r="B143" t="inlineStr">
        <is>
          <t>Rift Zone E2 SHIMANO (2024)</t>
        </is>
      </c>
      <c r="C143" t="inlineStr">
        <is>
          <t>Marin</t>
        </is>
      </c>
      <c r="D143" t="inlineStr">
        <is>
          <t>M</t>
        </is>
      </c>
      <c r="E143" s="9" t="n">
        <v>168</v>
      </c>
      <c r="F143" s="9" t="n">
        <v>180</v>
      </c>
      <c r="G143" t="inlineStr">
        <is>
          <t>Guía Marin 2022 (PDF)</t>
        </is>
      </c>
      <c r="H143" s="9" t="inlineStr">
        <is>
          <t>Completo</t>
        </is>
      </c>
      <c r="I143" t="inlineStr">
        <is>
          <t>A verificar</t>
        </is>
      </c>
    </row>
    <row r="144">
      <c r="A144" t="n">
        <v>354117181</v>
      </c>
      <c r="B144" t="inlineStr">
        <is>
          <t>Rift Zone E2 SHIMANO (2024)</t>
        </is>
      </c>
      <c r="C144" t="inlineStr">
        <is>
          <t>Marin</t>
        </is>
      </c>
      <c r="D144" t="inlineStr">
        <is>
          <t>L</t>
        </is>
      </c>
      <c r="E144" s="9" t="n">
        <v>178</v>
      </c>
      <c r="F144" s="9" t="n">
        <v>188</v>
      </c>
      <c r="G144" t="inlineStr">
        <is>
          <t>Guía Marin 2022 (PDF)</t>
        </is>
      </c>
      <c r="H144" s="9" t="inlineStr">
        <is>
          <t>Completo</t>
        </is>
      </c>
      <c r="I144" t="inlineStr">
        <is>
          <t>A verificar</t>
        </is>
      </c>
    </row>
    <row r="145">
      <c r="A145" t="n">
        <v>354117181</v>
      </c>
      <c r="B145" t="inlineStr">
        <is>
          <t>Rift Zone E2 SHIMANO (2024)</t>
        </is>
      </c>
      <c r="C145" t="inlineStr">
        <is>
          <t>Marin</t>
        </is>
      </c>
      <c r="D145" t="inlineStr">
        <is>
          <t>XL</t>
        </is>
      </c>
      <c r="E145" s="9" t="n">
        <v>185</v>
      </c>
      <c r="F145" s="9" t="n">
        <v>196</v>
      </c>
      <c r="G145" t="inlineStr">
        <is>
          <t>Guía Marin 2022 (PDF)</t>
        </is>
      </c>
      <c r="H145" s="9" t="inlineStr">
        <is>
          <t>Completo</t>
        </is>
      </c>
      <c r="I145" t="inlineStr">
        <is>
          <t>A verificar</t>
        </is>
      </c>
    </row>
    <row r="146">
      <c r="A146" t="n">
        <v>284296407</v>
      </c>
      <c r="B146" t="inlineStr">
        <is>
          <t>El Roy (2023)</t>
        </is>
      </c>
      <c r="C146" t="inlineStr">
        <is>
          <t>Marin</t>
        </is>
      </c>
      <c r="D146" t="inlineStr">
        <is>
          <t>XS / S / M / L / XL</t>
        </is>
      </c>
      <c r="E146" s="12" t="n"/>
      <c r="F146" s="12" t="n"/>
      <c r="G146" t="inlineStr"/>
      <c r="H146" s="12" t="inlineStr">
        <is>
          <t>COMPLETAR: la guía usa Regular/Grande</t>
        </is>
      </c>
      <c r="I146" t="inlineStr">
        <is>
          <t>A verificar</t>
        </is>
      </c>
    </row>
    <row r="147">
      <c r="A147" t="n">
        <v>284309508</v>
      </c>
      <c r="B147" t="inlineStr">
        <is>
          <t>Alcatraz 1</t>
        </is>
      </c>
      <c r="C147" t="inlineStr">
        <is>
          <t>Marin</t>
        </is>
      </c>
      <c r="D147" t="inlineStr">
        <is>
          <t>Short</t>
        </is>
      </c>
      <c r="E147" s="9" t="n">
        <v>150</v>
      </c>
      <c r="F147" s="9" t="n">
        <v>175</v>
      </c>
      <c r="G147" t="inlineStr">
        <is>
          <t>Guía Marin 2022 (PDF)</t>
        </is>
      </c>
      <c r="H147" s="9" t="inlineStr">
        <is>
          <t>Completo</t>
        </is>
      </c>
      <c r="I147" t="inlineStr">
        <is>
          <t>A verificar</t>
        </is>
      </c>
    </row>
    <row r="148">
      <c r="A148" t="n">
        <v>284309508</v>
      </c>
      <c r="B148" t="inlineStr">
        <is>
          <t>Alcatraz 1</t>
        </is>
      </c>
      <c r="C148" t="inlineStr">
        <is>
          <t>Marin</t>
        </is>
      </c>
      <c r="D148" t="inlineStr">
        <is>
          <t>Long</t>
        </is>
      </c>
      <c r="E148" s="9" t="n">
        <v>170</v>
      </c>
      <c r="F148" s="9" t="n">
        <v>196</v>
      </c>
      <c r="G148" t="inlineStr">
        <is>
          <t>Guía Marin 2022 (PDF)</t>
        </is>
      </c>
      <c r="H148" s="9" t="inlineStr">
        <is>
          <t>Completo</t>
        </is>
      </c>
      <c r="I148" t="inlineStr">
        <is>
          <t>A verificar</t>
        </is>
      </c>
    </row>
    <row r="149">
      <c r="A149" t="n">
        <v>354117074</v>
      </c>
      <c r="B149" t="inlineStr">
        <is>
          <t>Alcatraz 2</t>
        </is>
      </c>
      <c r="C149" t="inlineStr">
        <is>
          <t>Marin</t>
        </is>
      </c>
      <c r="D149" t="inlineStr">
        <is>
          <t>XS / S / M / L / XL</t>
        </is>
      </c>
      <c r="E149" s="12" t="n"/>
      <c r="F149" s="12" t="n"/>
      <c r="G149" t="inlineStr"/>
      <c r="H149" s="12" t="inlineStr">
        <is>
          <t>COMPLETAR: la guía usa Short/Long</t>
        </is>
      </c>
      <c r="I149" t="inlineStr">
        <is>
          <t>A verificar</t>
        </is>
      </c>
    </row>
    <row r="150">
      <c r="A150" t="n">
        <v>354117085</v>
      </c>
      <c r="B150" t="inlineStr">
        <is>
          <t>Alcatraz 24" (2026)</t>
        </is>
      </c>
      <c r="C150" t="inlineStr">
        <is>
          <t>Marin</t>
        </is>
      </c>
      <c r="D150" t="inlineStr">
        <is>
          <t>Único</t>
        </is>
      </c>
      <c r="E150" s="12" t="n"/>
      <c r="F150" s="12" t="n"/>
      <c r="G150" t="inlineStr"/>
      <c r="H150" s="12" t="inlineStr">
        <is>
          <t>COMPLETAR</t>
        </is>
      </c>
      <c r="I150" t="inlineStr">
        <is>
          <t>A verificar</t>
        </is>
      </c>
    </row>
    <row r="151">
      <c r="A151" t="n">
        <v>260343619</v>
      </c>
      <c r="B151" t="inlineStr">
        <is>
          <t>Quick 6</t>
        </is>
      </c>
      <c r="C151" t="inlineStr">
        <is>
          <t>Cannondale (a confirmar)</t>
        </is>
      </c>
      <c r="D151" t="inlineStr">
        <is>
          <t>S</t>
        </is>
      </c>
      <c r="E151" s="12" t="n"/>
      <c r="F151" s="12" t="n"/>
      <c r="G151" t="inlineStr"/>
      <c r="H151" s="12" t="inlineStr">
        <is>
          <t>COMPLETAR</t>
        </is>
      </c>
      <c r="I151" t="inlineStr">
        <is>
          <t>A verificar</t>
        </is>
      </c>
    </row>
    <row r="152">
      <c r="A152" t="n">
        <v>260343619</v>
      </c>
      <c r="B152" t="inlineStr">
        <is>
          <t>Quick 6</t>
        </is>
      </c>
      <c r="C152" t="inlineStr">
        <is>
          <t>Cannondale (a confirmar)</t>
        </is>
      </c>
      <c r="D152" t="inlineStr">
        <is>
          <t>M</t>
        </is>
      </c>
      <c r="E152" s="12" t="n"/>
      <c r="F152" s="12" t="n"/>
      <c r="G152" t="inlineStr"/>
      <c r="H152" s="12" t="inlineStr">
        <is>
          <t>COMPLETAR</t>
        </is>
      </c>
      <c r="I152" t="inlineStr">
        <is>
          <t>A verificar</t>
        </is>
      </c>
    </row>
    <row r="153">
      <c r="A153" t="n">
        <v>260343619</v>
      </c>
      <c r="B153" t="inlineStr">
        <is>
          <t>Quick 6</t>
        </is>
      </c>
      <c r="C153" t="inlineStr">
        <is>
          <t>Cannondale (a confirmar)</t>
        </is>
      </c>
      <c r="D153" t="inlineStr">
        <is>
          <t>L</t>
        </is>
      </c>
      <c r="E153" s="12" t="n"/>
      <c r="F153" s="12" t="n"/>
      <c r="G153" t="inlineStr"/>
      <c r="H153" s="12" t="inlineStr">
        <is>
          <t>COMPLETAR</t>
        </is>
      </c>
      <c r="I153" t="inlineStr">
        <is>
          <t>A verificar</t>
        </is>
      </c>
    </row>
    <row r="154">
      <c r="A154" t="n">
        <v>260343873</v>
      </c>
      <c r="B154" t="inlineStr">
        <is>
          <t>Trail 6 MTB 2021</t>
        </is>
      </c>
      <c r="C154" t="inlineStr">
        <is>
          <t>Cannondale (a confirmar)</t>
        </is>
      </c>
      <c r="D154" t="inlineStr">
        <is>
          <t>XS</t>
        </is>
      </c>
      <c r="E154" s="12" t="n"/>
      <c r="F154" s="12" t="n"/>
      <c r="G154" t="inlineStr"/>
      <c r="H154" s="12" t="inlineStr">
        <is>
          <t>COMPLETAR</t>
        </is>
      </c>
      <c r="I154" t="inlineStr">
        <is>
          <t>A verificar</t>
        </is>
      </c>
    </row>
    <row r="155">
      <c r="A155" t="n">
        <v>260343873</v>
      </c>
      <c r="B155" t="inlineStr">
        <is>
          <t>Trail 6 MTB 2021</t>
        </is>
      </c>
      <c r="C155" t="inlineStr">
        <is>
          <t>Cannondale (a confirmar)</t>
        </is>
      </c>
      <c r="D155" t="inlineStr">
        <is>
          <t>S</t>
        </is>
      </c>
      <c r="E155" s="12" t="n"/>
      <c r="F155" s="12" t="n"/>
      <c r="G155" t="inlineStr"/>
      <c r="H155" s="12" t="inlineStr">
        <is>
          <t>COMPLETAR</t>
        </is>
      </c>
      <c r="I155" t="inlineStr">
        <is>
          <t>A verificar</t>
        </is>
      </c>
    </row>
    <row r="156">
      <c r="A156" t="n">
        <v>260343873</v>
      </c>
      <c r="B156" t="inlineStr">
        <is>
          <t>Trail 6 MTB 2021</t>
        </is>
      </c>
      <c r="C156" t="inlineStr">
        <is>
          <t>Cannondale (a confirmar)</t>
        </is>
      </c>
      <c r="D156" t="inlineStr">
        <is>
          <t>M</t>
        </is>
      </c>
      <c r="E156" s="12" t="n"/>
      <c r="F156" s="12" t="n"/>
      <c r="G156" t="inlineStr"/>
      <c r="H156" s="12" t="inlineStr">
        <is>
          <t>COMPLETAR</t>
        </is>
      </c>
      <c r="I156" t="inlineStr">
        <is>
          <t>A verificar</t>
        </is>
      </c>
    </row>
    <row r="157">
      <c r="A157" t="n">
        <v>260343873</v>
      </c>
      <c r="B157" t="inlineStr">
        <is>
          <t>Trail 6 MTB 2021</t>
        </is>
      </c>
      <c r="C157" t="inlineStr">
        <is>
          <t>Cannondale (a confirmar)</t>
        </is>
      </c>
      <c r="D157" t="inlineStr">
        <is>
          <t>L</t>
        </is>
      </c>
      <c r="E157" s="12" t="n"/>
      <c r="F157" s="12" t="n"/>
      <c r="G157" t="inlineStr"/>
      <c r="H157" s="12" t="inlineStr">
        <is>
          <t>COMPLETAR</t>
        </is>
      </c>
      <c r="I157" t="inlineStr">
        <is>
          <t>A verificar</t>
        </is>
      </c>
    </row>
    <row r="158">
      <c r="A158" t="n">
        <v>260343873</v>
      </c>
      <c r="B158" t="inlineStr">
        <is>
          <t>Trail 6 MTB 2021</t>
        </is>
      </c>
      <c r="C158" t="inlineStr">
        <is>
          <t>Cannondale (a confirmar)</t>
        </is>
      </c>
      <c r="D158" t="inlineStr">
        <is>
          <t>XL</t>
        </is>
      </c>
      <c r="E158" s="12" t="n"/>
      <c r="F158" s="12" t="n"/>
      <c r="G158" t="inlineStr"/>
      <c r="H158" s="12" t="inlineStr">
        <is>
          <t>COMPLETAR</t>
        </is>
      </c>
      <c r="I158" t="inlineStr">
        <is>
          <t>A verificar</t>
        </is>
      </c>
    </row>
    <row r="159">
      <c r="A159" t="n">
        <v>260348567</v>
      </c>
      <c r="B159" t="inlineStr">
        <is>
          <t>Alight 2 DD Disc</t>
        </is>
      </c>
      <c r="C159" t="inlineStr">
        <is>
          <t>Liv (a confirmar)</t>
        </is>
      </c>
      <c r="D159" t="inlineStr">
        <is>
          <t>S</t>
        </is>
      </c>
      <c r="E159" s="12" t="n"/>
      <c r="F159" s="12" t="n"/>
      <c r="G159" t="inlineStr"/>
      <c r="H159" s="12" t="inlineStr">
        <is>
          <t>COMPLETAR</t>
        </is>
      </c>
      <c r="I159" t="inlineStr">
        <is>
          <t>A verificar</t>
        </is>
      </c>
    </row>
    <row r="160">
      <c r="A160" t="n">
        <v>260348567</v>
      </c>
      <c r="B160" t="inlineStr">
        <is>
          <t>Alight 2 DD Disc</t>
        </is>
      </c>
      <c r="C160" t="inlineStr">
        <is>
          <t>Liv (a confirmar)</t>
        </is>
      </c>
      <c r="D160" t="inlineStr">
        <is>
          <t>M</t>
        </is>
      </c>
      <c r="E160" s="12" t="n"/>
      <c r="F160" s="12" t="n"/>
      <c r="G160" t="inlineStr"/>
      <c r="H160" s="12" t="inlineStr">
        <is>
          <t>COMPLETAR</t>
        </is>
      </c>
      <c r="I160" t="inlineStr">
        <is>
          <t>A verificar</t>
        </is>
      </c>
    </row>
    <row r="161">
      <c r="A161" t="n">
        <v>260348567</v>
      </c>
      <c r="B161" t="inlineStr">
        <is>
          <t>Alight 2 DD Disc</t>
        </is>
      </c>
      <c r="C161" t="inlineStr">
        <is>
          <t>Liv (a confirmar)</t>
        </is>
      </c>
      <c r="D161" t="inlineStr">
        <is>
          <t>L</t>
        </is>
      </c>
      <c r="E161" s="12" t="n"/>
      <c r="F161" s="12" t="n"/>
      <c r="G161" t="inlineStr"/>
      <c r="H161" s="12" t="inlineStr">
        <is>
          <t>COMPLETAR</t>
        </is>
      </c>
      <c r="I161" t="inlineStr">
        <is>
          <t>A verificar</t>
        </is>
      </c>
    </row>
    <row r="162">
      <c r="A162" t="n">
        <v>260346843</v>
      </c>
      <c r="B162" t="inlineStr">
        <is>
          <t>Space</t>
        </is>
      </c>
      <c r="C162" t="inlineStr"/>
      <c r="D162" t="inlineStr">
        <is>
          <t>S</t>
        </is>
      </c>
      <c r="E162" s="12" t="n"/>
      <c r="F162" s="12" t="n"/>
      <c r="G162" t="inlineStr"/>
      <c r="H162" s="12" t="inlineStr">
        <is>
          <t>COMPLETAR</t>
        </is>
      </c>
      <c r="I162" t="inlineStr">
        <is>
          <t>A verificar</t>
        </is>
      </c>
    </row>
    <row r="163">
      <c r="A163" t="n">
        <v>260346843</v>
      </c>
      <c r="B163" t="inlineStr">
        <is>
          <t>Space</t>
        </is>
      </c>
      <c r="C163" t="inlineStr"/>
      <c r="D163" t="inlineStr">
        <is>
          <t>M</t>
        </is>
      </c>
      <c r="E163" s="12" t="n"/>
      <c r="F163" s="12" t="n"/>
      <c r="G163" t="inlineStr"/>
      <c r="H163" s="12" t="inlineStr">
        <is>
          <t>COMPLETAR</t>
        </is>
      </c>
      <c r="I163" t="inlineStr">
        <is>
          <t>A verificar</t>
        </is>
      </c>
    </row>
    <row r="164">
      <c r="A164" t="n">
        <v>260346843</v>
      </c>
      <c r="B164" t="inlineStr">
        <is>
          <t>Space</t>
        </is>
      </c>
      <c r="C164" t="inlineStr"/>
      <c r="D164" t="inlineStr">
        <is>
          <t>L</t>
        </is>
      </c>
      <c r="E164" s="12" t="n"/>
      <c r="F164" s="12" t="n"/>
      <c r="G164" t="inlineStr"/>
      <c r="H164" s="12" t="inlineStr">
        <is>
          <t>COMPLETAR</t>
        </is>
      </c>
      <c r="I164" t="inlineStr">
        <is>
          <t>A verificar</t>
        </is>
      </c>
    </row>
    <row r="165">
      <c r="A165" t="n">
        <v>260346819</v>
      </c>
      <c r="B165" t="inlineStr">
        <is>
          <t>Cheetah</t>
        </is>
      </c>
      <c r="C165" t="inlineStr"/>
      <c r="D165" t="inlineStr">
        <is>
          <t>S</t>
        </is>
      </c>
      <c r="E165" s="12" t="n"/>
      <c r="F165" s="12" t="n"/>
      <c r="G165" t="inlineStr"/>
      <c r="H165" s="12" t="inlineStr">
        <is>
          <t>COMPLETAR</t>
        </is>
      </c>
      <c r="I165" t="inlineStr">
        <is>
          <t>A verificar</t>
        </is>
      </c>
    </row>
    <row r="166">
      <c r="A166" t="n">
        <v>260346819</v>
      </c>
      <c r="B166" t="inlineStr">
        <is>
          <t>Cheetah</t>
        </is>
      </c>
      <c r="C166" t="inlineStr"/>
      <c r="D166" t="inlineStr">
        <is>
          <t>M</t>
        </is>
      </c>
      <c r="E166" s="12" t="n"/>
      <c r="F166" s="12" t="n"/>
      <c r="G166" t="inlineStr"/>
      <c r="H166" s="12" t="inlineStr">
        <is>
          <t>COMPLETAR</t>
        </is>
      </c>
      <c r="I166" t="inlineStr">
        <is>
          <t>A verificar</t>
        </is>
      </c>
    </row>
    <row r="167">
      <c r="A167" t="n">
        <v>260346819</v>
      </c>
      <c r="B167" t="inlineStr">
        <is>
          <t>Cheetah</t>
        </is>
      </c>
      <c r="C167" t="inlineStr"/>
      <c r="D167" t="inlineStr">
        <is>
          <t>L</t>
        </is>
      </c>
      <c r="E167" s="12" t="n"/>
      <c r="F167" s="12" t="n"/>
      <c r="G167" t="inlineStr"/>
      <c r="H167" s="12" t="inlineStr">
        <is>
          <t>COMPLETAR</t>
        </is>
      </c>
      <c r="I167" t="inlineStr">
        <is>
          <t>A verificar</t>
        </is>
      </c>
    </row>
    <row r="168">
      <c r="A168" t="n">
        <v>260346819</v>
      </c>
      <c r="B168" t="inlineStr">
        <is>
          <t>Cheetah</t>
        </is>
      </c>
      <c r="C168" t="inlineStr"/>
      <c r="D168" t="inlineStr">
        <is>
          <t>XL</t>
        </is>
      </c>
      <c r="E168" s="12" t="n"/>
      <c r="F168" s="12" t="n"/>
      <c r="G168" t="inlineStr"/>
      <c r="H168" s="12" t="inlineStr">
        <is>
          <t>COMPLETAR</t>
        </is>
      </c>
      <c r="I168" t="inlineStr">
        <is>
          <t>A verificar</t>
        </is>
      </c>
    </row>
    <row r="169">
      <c r="A169" t="n">
        <v>349261735</v>
      </c>
      <c r="B169" t="inlineStr">
        <is>
          <t>Roadkiller Lady Disk</t>
        </is>
      </c>
      <c r="C169" t="inlineStr"/>
      <c r="D169" t="inlineStr">
        <is>
          <t>S</t>
        </is>
      </c>
      <c r="E169" s="12" t="n"/>
      <c r="F169" s="12" t="n"/>
      <c r="G169" t="inlineStr"/>
      <c r="H169" s="12" t="inlineStr">
        <is>
          <t>COMPLETAR</t>
        </is>
      </c>
      <c r="I169" t="inlineStr">
        <is>
          <t>A verificar</t>
        </is>
      </c>
    </row>
    <row r="170">
      <c r="A170" t="n">
        <v>349261735</v>
      </c>
      <c r="B170" t="inlineStr">
        <is>
          <t>Roadkiller Lady Disk</t>
        </is>
      </c>
      <c r="C170" t="inlineStr"/>
      <c r="D170" t="inlineStr">
        <is>
          <t>M</t>
        </is>
      </c>
      <c r="E170" s="12" t="n"/>
      <c r="F170" s="12" t="n"/>
      <c r="G170" t="inlineStr"/>
      <c r="H170" s="12" t="inlineStr">
        <is>
          <t>COMPLETAR</t>
        </is>
      </c>
      <c r="I170" t="inlineStr">
        <is>
          <t>A verificar</t>
        </is>
      </c>
    </row>
    <row r="171">
      <c r="A171" t="n">
        <v>349261838</v>
      </c>
      <c r="B171" t="inlineStr">
        <is>
          <t>Roadkiller Disk</t>
        </is>
      </c>
      <c r="C171" t="inlineStr"/>
      <c r="D171" t="inlineStr">
        <is>
          <t>M</t>
        </is>
      </c>
      <c r="E171" s="12" t="n"/>
      <c r="F171" s="12" t="n"/>
      <c r="G171" t="inlineStr"/>
      <c r="H171" s="12" t="inlineStr">
        <is>
          <t>COMPLETAR</t>
        </is>
      </c>
      <c r="I171" t="inlineStr">
        <is>
          <t>A verificar</t>
        </is>
      </c>
    </row>
    <row r="172">
      <c r="A172" t="n">
        <v>349261838</v>
      </c>
      <c r="B172" t="inlineStr">
        <is>
          <t>Roadkiller Disk</t>
        </is>
      </c>
      <c r="C172" t="inlineStr"/>
      <c r="D172" t="inlineStr">
        <is>
          <t>L</t>
        </is>
      </c>
      <c r="E172" s="12" t="n"/>
      <c r="F172" s="12" t="n"/>
      <c r="G172" t="inlineStr"/>
      <c r="H172" s="12" t="inlineStr">
        <is>
          <t>COMPLETAR</t>
        </is>
      </c>
      <c r="I172" t="inlineStr">
        <is>
          <t>A verificar</t>
        </is>
      </c>
    </row>
    <row r="173">
      <c r="A173" t="n">
        <v>349261744</v>
      </c>
      <c r="B173" t="inlineStr">
        <is>
          <t>I Am Single</t>
        </is>
      </c>
      <c r="C173" t="inlineStr"/>
      <c r="D173" t="inlineStr">
        <is>
          <t>S</t>
        </is>
      </c>
      <c r="E173" s="12" t="n"/>
      <c r="F173" s="12" t="n"/>
      <c r="G173" t="inlineStr"/>
      <c r="H173" s="12" t="inlineStr">
        <is>
          <t>COMPLETAR</t>
        </is>
      </c>
      <c r="I173" t="inlineStr">
        <is>
          <t>A verificar</t>
        </is>
      </c>
    </row>
    <row r="174">
      <c r="A174" t="n">
        <v>349261744</v>
      </c>
      <c r="B174" t="inlineStr">
        <is>
          <t>I Am Single</t>
        </is>
      </c>
      <c r="C174" t="inlineStr"/>
      <c r="D174" t="inlineStr">
        <is>
          <t>M</t>
        </is>
      </c>
      <c r="E174" s="12" t="n"/>
      <c r="F174" s="12" t="n"/>
      <c r="G174" t="inlineStr"/>
      <c r="H174" s="12" t="inlineStr">
        <is>
          <t>COMPLETAR</t>
        </is>
      </c>
      <c r="I174" t="inlineStr">
        <is>
          <t>A verificar</t>
        </is>
      </c>
    </row>
    <row r="175">
      <c r="A175" t="n">
        <v>349261744</v>
      </c>
      <c r="B175" t="inlineStr">
        <is>
          <t>I Am Single</t>
        </is>
      </c>
      <c r="C175" t="inlineStr"/>
      <c r="D175" t="inlineStr">
        <is>
          <t>L</t>
        </is>
      </c>
      <c r="E175" s="12" t="n"/>
      <c r="F175" s="12" t="n"/>
      <c r="G175" t="inlineStr"/>
      <c r="H175" s="12" t="inlineStr">
        <is>
          <t>COMPLETAR</t>
        </is>
      </c>
      <c r="I175" t="inlineStr">
        <is>
          <t>A verificar</t>
        </is>
      </c>
    </row>
    <row r="176">
      <c r="A176" t="n">
        <v>349261748</v>
      </c>
      <c r="B176" t="inlineStr">
        <is>
          <t>Flower Bud Fairy</t>
        </is>
      </c>
      <c r="C176" t="inlineStr"/>
      <c r="D176" t="inlineStr">
        <is>
          <t>S</t>
        </is>
      </c>
      <c r="E176" s="12" t="n"/>
      <c r="F176" s="12" t="n"/>
      <c r="G176" t="inlineStr"/>
      <c r="H176" s="12" t="inlineStr">
        <is>
          <t>COMPLETAR</t>
        </is>
      </c>
      <c r="I176" t="inlineStr">
        <is>
          <t>A verificar</t>
        </is>
      </c>
    </row>
    <row r="177">
      <c r="A177" t="n">
        <v>349261756</v>
      </c>
      <c r="B177" t="inlineStr">
        <is>
          <t>VHS Player</t>
        </is>
      </c>
      <c r="C177" t="inlineStr"/>
      <c r="D177" t="inlineStr">
        <is>
          <t>S</t>
        </is>
      </c>
      <c r="E177" s="12" t="n"/>
      <c r="F177" s="12" t="n"/>
      <c r="G177" t="inlineStr"/>
      <c r="H177" s="12" t="inlineStr">
        <is>
          <t>COMPLETAR</t>
        </is>
      </c>
      <c r="I177" t="inlineStr">
        <is>
          <t>A verificar</t>
        </is>
      </c>
    </row>
    <row r="178">
      <c r="A178" t="n">
        <v>349261756</v>
      </c>
      <c r="B178" t="inlineStr">
        <is>
          <t>VHS Player</t>
        </is>
      </c>
      <c r="C178" t="inlineStr"/>
      <c r="D178" t="inlineStr">
        <is>
          <t>M</t>
        </is>
      </c>
      <c r="E178" s="12" t="n"/>
      <c r="F178" s="12" t="n"/>
      <c r="G178" t="inlineStr"/>
      <c r="H178" s="12" t="inlineStr">
        <is>
          <t>COMPLETAR</t>
        </is>
      </c>
      <c r="I178" t="inlineStr">
        <is>
          <t>A verificar</t>
        </is>
      </c>
    </row>
    <row r="179">
      <c r="A179" t="n">
        <v>349261756</v>
      </c>
      <c r="B179" t="inlineStr">
        <is>
          <t>VHS Player</t>
        </is>
      </c>
      <c r="C179" t="inlineStr"/>
      <c r="D179" t="inlineStr">
        <is>
          <t>L</t>
        </is>
      </c>
      <c r="E179" s="12" t="n"/>
      <c r="F179" s="12" t="n"/>
      <c r="G179" t="inlineStr"/>
      <c r="H179" s="12" t="inlineStr">
        <is>
          <t>COMPLETAR</t>
        </is>
      </c>
      <c r="I179" t="inlineStr">
        <is>
          <t>A verificar</t>
        </is>
      </c>
    </row>
    <row r="180">
      <c r="A180" t="n">
        <v>349261782</v>
      </c>
      <c r="B180" t="inlineStr">
        <is>
          <t>Lucky Clover</t>
        </is>
      </c>
      <c r="C180" t="inlineStr"/>
      <c r="D180" t="inlineStr">
        <is>
          <t>S</t>
        </is>
      </c>
      <c r="E180" s="12" t="n"/>
      <c r="F180" s="12" t="n"/>
      <c r="G180" t="inlineStr"/>
      <c r="H180" s="12" t="inlineStr">
        <is>
          <t>COMPLETAR</t>
        </is>
      </c>
      <c r="I180" t="inlineStr">
        <is>
          <t>A verificar</t>
        </is>
      </c>
    </row>
    <row r="181">
      <c r="A181" t="n">
        <v>349261782</v>
      </c>
      <c r="B181" t="inlineStr">
        <is>
          <t>Lucky Clover</t>
        </is>
      </c>
      <c r="C181" t="inlineStr"/>
      <c r="D181" t="inlineStr">
        <is>
          <t>M</t>
        </is>
      </c>
      <c r="E181" s="12" t="n"/>
      <c r="F181" s="12" t="n"/>
      <c r="G181" t="inlineStr"/>
      <c r="H181" s="12" t="inlineStr">
        <is>
          <t>COMPLETAR</t>
        </is>
      </c>
      <c r="I181" t="inlineStr">
        <is>
          <t>A verificar</t>
        </is>
      </c>
    </row>
    <row r="182">
      <c r="A182" t="n">
        <v>349261782</v>
      </c>
      <c r="B182" t="inlineStr">
        <is>
          <t>Lucky Clover</t>
        </is>
      </c>
      <c r="C182" t="inlineStr"/>
      <c r="D182" t="inlineStr">
        <is>
          <t>L</t>
        </is>
      </c>
      <c r="E182" s="12" t="n"/>
      <c r="F182" s="12" t="n"/>
      <c r="G182" t="inlineStr"/>
      <c r="H182" s="12" t="inlineStr">
        <is>
          <t>COMPLETAR</t>
        </is>
      </c>
      <c r="I182" t="inlineStr">
        <is>
          <t>A verificar</t>
        </is>
      </c>
    </row>
    <row r="183">
      <c r="A183" t="n">
        <v>349261785</v>
      </c>
      <c r="B183" t="inlineStr">
        <is>
          <t>Lucky Clover Low</t>
        </is>
      </c>
      <c r="C183" t="inlineStr"/>
      <c r="D183" t="inlineStr">
        <is>
          <t>S</t>
        </is>
      </c>
      <c r="E183" s="12" t="n"/>
      <c r="F183" s="12" t="n"/>
      <c r="G183" t="inlineStr"/>
      <c r="H183" s="12" t="inlineStr">
        <is>
          <t>COMPLETAR</t>
        </is>
      </c>
      <c r="I183" t="inlineStr">
        <is>
          <t>A verificar</t>
        </is>
      </c>
    </row>
    <row r="184">
      <c r="A184" t="n">
        <v>349261785</v>
      </c>
      <c r="B184" t="inlineStr">
        <is>
          <t>Lucky Clover Low</t>
        </is>
      </c>
      <c r="C184" t="inlineStr"/>
      <c r="D184" t="inlineStr">
        <is>
          <t>M</t>
        </is>
      </c>
      <c r="E184" s="12" t="n"/>
      <c r="F184" s="12" t="n"/>
      <c r="G184" t="inlineStr"/>
      <c r="H184" s="12" t="inlineStr">
        <is>
          <t>COMPLETAR</t>
        </is>
      </c>
      <c r="I184" t="inlineStr">
        <is>
          <t>A verificar</t>
        </is>
      </c>
    </row>
    <row r="185">
      <c r="A185" t="n">
        <v>349261732</v>
      </c>
      <c r="B185" t="inlineStr">
        <is>
          <t>Wanderer</t>
        </is>
      </c>
      <c r="C185" t="inlineStr"/>
      <c r="D185" t="inlineStr">
        <is>
          <t>S</t>
        </is>
      </c>
      <c r="E185" s="12" t="n"/>
      <c r="F185" s="12" t="n"/>
      <c r="G185" t="inlineStr"/>
      <c r="H185" s="12" t="inlineStr">
        <is>
          <t>COMPLETAR</t>
        </is>
      </c>
      <c r="I185" t="inlineStr">
        <is>
          <t>A verificar</t>
        </is>
      </c>
    </row>
    <row r="186">
      <c r="A186" t="n">
        <v>349261732</v>
      </c>
      <c r="B186" t="inlineStr">
        <is>
          <t>Wanderer</t>
        </is>
      </c>
      <c r="C186" t="inlineStr"/>
      <c r="D186" t="inlineStr">
        <is>
          <t>M</t>
        </is>
      </c>
      <c r="E186" s="12" t="n"/>
      <c r="F186" s="12" t="n"/>
      <c r="G186" t="inlineStr"/>
      <c r="H186" s="12" t="inlineStr">
        <is>
          <t>COMPLETAR</t>
        </is>
      </c>
      <c r="I186" t="inlineStr">
        <is>
          <t>A verificar</t>
        </is>
      </c>
    </row>
    <row r="187">
      <c r="A187" t="n">
        <v>349261732</v>
      </c>
      <c r="B187" t="inlineStr">
        <is>
          <t>Wanderer</t>
        </is>
      </c>
      <c r="C187" t="inlineStr"/>
      <c r="D187" t="inlineStr">
        <is>
          <t>L</t>
        </is>
      </c>
      <c r="E187" s="12" t="n"/>
      <c r="F187" s="12" t="n"/>
      <c r="G187" t="inlineStr"/>
      <c r="H187" s="12" t="inlineStr">
        <is>
          <t>COMPLETAR</t>
        </is>
      </c>
      <c r="I187" t="inlineStr">
        <is>
          <t>A verificar</t>
        </is>
      </c>
    </row>
    <row r="188">
      <c r="A188" t="n">
        <v>349261740</v>
      </c>
      <c r="B188" t="inlineStr">
        <is>
          <t>The Lightning</t>
        </is>
      </c>
      <c r="C188" t="inlineStr"/>
      <c r="D188" t="inlineStr">
        <is>
          <t>S</t>
        </is>
      </c>
      <c r="E188" s="12" t="n"/>
      <c r="F188" s="12" t="n"/>
      <c r="G188" t="inlineStr"/>
      <c r="H188" s="12" t="inlineStr">
        <is>
          <t>COMPLETAR</t>
        </is>
      </c>
      <c r="I188" t="inlineStr">
        <is>
          <t>A verificar</t>
        </is>
      </c>
    </row>
    <row r="189">
      <c r="A189" t="n">
        <v>349261740</v>
      </c>
      <c r="B189" t="inlineStr">
        <is>
          <t>The Lightning</t>
        </is>
      </c>
      <c r="C189" t="inlineStr"/>
      <c r="D189" t="inlineStr">
        <is>
          <t>M</t>
        </is>
      </c>
      <c r="E189" s="12" t="n"/>
      <c r="F189" s="12" t="n"/>
      <c r="G189" t="inlineStr"/>
      <c r="H189" s="12" t="inlineStr">
        <is>
          <t>COMPLETAR</t>
        </is>
      </c>
      <c r="I189" t="inlineStr">
        <is>
          <t>A verificar</t>
        </is>
      </c>
    </row>
    <row r="190">
      <c r="A190" t="n">
        <v>349261740</v>
      </c>
      <c r="B190" t="inlineStr">
        <is>
          <t>The Lightning</t>
        </is>
      </c>
      <c r="C190" t="inlineStr"/>
      <c r="D190" t="inlineStr">
        <is>
          <t>L</t>
        </is>
      </c>
      <c r="E190" s="12" t="n"/>
      <c r="F190" s="12" t="n"/>
      <c r="G190" t="inlineStr"/>
      <c r="H190" s="12" t="inlineStr">
        <is>
          <t>COMPLETAR</t>
        </is>
      </c>
      <c r="I190" t="inlineStr">
        <is>
          <t>A verificar</t>
        </is>
      </c>
    </row>
    <row r="191">
      <c r="A191" t="n">
        <v>349261840</v>
      </c>
      <c r="B191" t="inlineStr">
        <is>
          <t>Mom's Favorite</t>
        </is>
      </c>
      <c r="C191" t="inlineStr"/>
      <c r="D191" t="inlineStr">
        <is>
          <t>M</t>
        </is>
      </c>
      <c r="E191" s="12" t="n"/>
      <c r="F191" s="12" t="n"/>
      <c r="G191" t="inlineStr"/>
      <c r="H191" s="12" t="inlineStr">
        <is>
          <t>COMPLETAR</t>
        </is>
      </c>
      <c r="I191" t="inlineStr">
        <is>
          <t>A verificar</t>
        </is>
      </c>
    </row>
    <row r="192">
      <c r="A192" t="n">
        <v>349261840</v>
      </c>
      <c r="B192" t="inlineStr">
        <is>
          <t>Mom's Favorite</t>
        </is>
      </c>
      <c r="C192" t="inlineStr"/>
      <c r="D192" t="inlineStr">
        <is>
          <t>XL</t>
        </is>
      </c>
      <c r="E192" s="12" t="n"/>
      <c r="F192" s="12" t="n"/>
      <c r="G192" t="inlineStr"/>
      <c r="H192" s="12" t="inlineStr">
        <is>
          <t>COMPLETAR</t>
        </is>
      </c>
      <c r="I192" t="inlineStr">
        <is>
          <t>A verificar</t>
        </is>
      </c>
    </row>
    <row r="193">
      <c r="A193" t="n">
        <v>349261728</v>
      </c>
      <c r="B193" t="inlineStr">
        <is>
          <t>Boys Don't Cry</t>
        </is>
      </c>
      <c r="C193" t="inlineStr"/>
      <c r="D193" t="inlineStr">
        <is>
          <t>S</t>
        </is>
      </c>
      <c r="E193" s="12" t="n"/>
      <c r="F193" s="12" t="n"/>
      <c r="G193" t="inlineStr"/>
      <c r="H193" s="12" t="inlineStr">
        <is>
          <t>COMPLETAR</t>
        </is>
      </c>
      <c r="I193" t="inlineStr">
        <is>
          <t>A verificar</t>
        </is>
      </c>
    </row>
    <row r="194">
      <c r="A194" t="n">
        <v>349261728</v>
      </c>
      <c r="B194" t="inlineStr">
        <is>
          <t>Boys Don't Cry</t>
        </is>
      </c>
      <c r="C194" t="inlineStr"/>
      <c r="D194" t="inlineStr">
        <is>
          <t>M</t>
        </is>
      </c>
      <c r="E194" s="12" t="n"/>
      <c r="F194" s="12" t="n"/>
      <c r="G194" t="inlineStr"/>
      <c r="H194" s="12" t="inlineStr">
        <is>
          <t>COMPLETAR</t>
        </is>
      </c>
      <c r="I194" t="inlineStr">
        <is>
          <t>A verificar</t>
        </is>
      </c>
    </row>
    <row r="195">
      <c r="A195" t="n">
        <v>349261728</v>
      </c>
      <c r="B195" t="inlineStr">
        <is>
          <t>Boys Don't Cry</t>
        </is>
      </c>
      <c r="C195" t="inlineStr"/>
      <c r="D195" t="inlineStr">
        <is>
          <t>L</t>
        </is>
      </c>
      <c r="E195" s="12" t="n"/>
      <c r="F195" s="12" t="n"/>
      <c r="G195" t="inlineStr"/>
      <c r="H195" s="12" t="inlineStr">
        <is>
          <t>COMPLETAR</t>
        </is>
      </c>
      <c r="I195" t="inlineStr">
        <is>
          <t>A verificar</t>
        </is>
      </c>
    </row>
    <row r="196">
      <c r="A196" t="n">
        <v>349261738</v>
      </c>
      <c r="B196" t="inlineStr">
        <is>
          <t>Lone Ranger</t>
        </is>
      </c>
      <c r="C196" t="inlineStr"/>
      <c r="D196" t="inlineStr">
        <is>
          <t>S</t>
        </is>
      </c>
      <c r="E196" s="12" t="n"/>
      <c r="F196" s="12" t="n"/>
      <c r="G196" t="inlineStr"/>
      <c r="H196" s="12" t="inlineStr">
        <is>
          <t>COMPLETAR</t>
        </is>
      </c>
      <c r="I196" t="inlineStr">
        <is>
          <t>A verificar</t>
        </is>
      </c>
    </row>
    <row r="197">
      <c r="A197" t="n">
        <v>349261738</v>
      </c>
      <c r="B197" t="inlineStr">
        <is>
          <t>Lone Ranger</t>
        </is>
      </c>
      <c r="C197" t="inlineStr"/>
      <c r="D197" t="inlineStr">
        <is>
          <t>M</t>
        </is>
      </c>
      <c r="E197" s="12" t="n"/>
      <c r="F197" s="12" t="n"/>
      <c r="G197" t="inlineStr"/>
      <c r="H197" s="12" t="inlineStr">
        <is>
          <t>COMPLETAR</t>
        </is>
      </c>
      <c r="I197" t="inlineStr">
        <is>
          <t>A verificar</t>
        </is>
      </c>
    </row>
    <row r="198">
      <c r="A198" t="n">
        <v>349261738</v>
      </c>
      <c r="B198" t="inlineStr">
        <is>
          <t>Lone Ranger</t>
        </is>
      </c>
      <c r="C198" t="inlineStr"/>
      <c r="D198" t="inlineStr">
        <is>
          <t>L</t>
        </is>
      </c>
      <c r="E198" s="12" t="n"/>
      <c r="F198" s="12" t="n"/>
      <c r="G198" t="inlineStr"/>
      <c r="H198" s="12" t="inlineStr">
        <is>
          <t>COMPLETAR</t>
        </is>
      </c>
      <c r="I198" t="inlineStr">
        <is>
          <t>A verificar</t>
        </is>
      </c>
    </row>
    <row r="199">
      <c r="A199" t="n">
        <v>349261821</v>
      </c>
      <c r="B199" t="inlineStr">
        <is>
          <t>Sunday</t>
        </is>
      </c>
      <c r="C199" t="inlineStr"/>
      <c r="D199" t="inlineStr">
        <is>
          <t>S</t>
        </is>
      </c>
      <c r="E199" s="12" t="n"/>
      <c r="F199" s="12" t="n"/>
      <c r="G199" t="inlineStr"/>
      <c r="H199" s="12" t="inlineStr">
        <is>
          <t>COMPLETAR</t>
        </is>
      </c>
      <c r="I199" t="inlineStr">
        <is>
          <t>A verificar</t>
        </is>
      </c>
    </row>
    <row r="200">
      <c r="A200" t="n">
        <v>349261821</v>
      </c>
      <c r="B200" t="inlineStr">
        <is>
          <t>Sunday</t>
        </is>
      </c>
      <c r="C200" t="inlineStr"/>
      <c r="D200" t="inlineStr">
        <is>
          <t>M</t>
        </is>
      </c>
      <c r="E200" s="12" t="n"/>
      <c r="F200" s="12" t="n"/>
      <c r="G200" t="inlineStr"/>
      <c r="H200" s="12" t="inlineStr">
        <is>
          <t>COMPLETAR</t>
        </is>
      </c>
      <c r="I200" t="inlineStr">
        <is>
          <t>A verificar</t>
        </is>
      </c>
    </row>
    <row r="201">
      <c r="A201" t="n">
        <v>349261821</v>
      </c>
      <c r="B201" t="inlineStr">
        <is>
          <t>Sunday</t>
        </is>
      </c>
      <c r="C201" t="inlineStr"/>
      <c r="D201" t="inlineStr">
        <is>
          <t>L</t>
        </is>
      </c>
      <c r="E201" s="12" t="n"/>
      <c r="F201" s="12" t="n"/>
      <c r="G201" t="inlineStr"/>
      <c r="H201" s="12" t="inlineStr">
        <is>
          <t>COMPLETAR</t>
        </is>
      </c>
      <c r="I201" t="inlineStr">
        <is>
          <t>A verificar</t>
        </is>
      </c>
    </row>
    <row r="202">
      <c r="A202" t="n">
        <v>349261825</v>
      </c>
      <c r="B202" t="inlineStr">
        <is>
          <t>Sunday Low</t>
        </is>
      </c>
      <c r="C202" t="inlineStr"/>
      <c r="D202" t="inlineStr">
        <is>
          <t>S</t>
        </is>
      </c>
      <c r="E202" s="12" t="n"/>
      <c r="F202" s="12" t="n"/>
      <c r="G202" t="inlineStr"/>
      <c r="H202" s="12" t="inlineStr">
        <is>
          <t>COMPLETAR</t>
        </is>
      </c>
      <c r="I202" t="inlineStr">
        <is>
          <t>A verificar</t>
        </is>
      </c>
    </row>
    <row r="203">
      <c r="A203" t="n">
        <v>349261825</v>
      </c>
      <c r="B203" t="inlineStr">
        <is>
          <t>Sunday Low</t>
        </is>
      </c>
      <c r="C203" t="inlineStr"/>
      <c r="D203" t="inlineStr">
        <is>
          <t>M</t>
        </is>
      </c>
      <c r="E203" s="12" t="n"/>
      <c r="F203" s="12" t="n"/>
      <c r="G203" t="inlineStr"/>
      <c r="H203" s="12" t="inlineStr">
        <is>
          <t>COMPLETAR</t>
        </is>
      </c>
      <c r="I203" t="inlineStr">
        <is>
          <t>A verificar</t>
        </is>
      </c>
    </row>
    <row r="204">
      <c r="A204" t="n">
        <v>349261827</v>
      </c>
      <c r="B204" t="inlineStr">
        <is>
          <t>Big Time</t>
        </is>
      </c>
      <c r="C204" t="inlineStr"/>
      <c r="D204" t="inlineStr">
        <is>
          <t>S</t>
        </is>
      </c>
      <c r="E204" s="12" t="n"/>
      <c r="F204" s="12" t="n"/>
      <c r="G204" t="inlineStr"/>
      <c r="H204" s="12" t="inlineStr">
        <is>
          <t>COMPLETAR</t>
        </is>
      </c>
      <c r="I204" t="inlineStr">
        <is>
          <t>A verificar</t>
        </is>
      </c>
    </row>
    <row r="205">
      <c r="A205" t="n">
        <v>349261827</v>
      </c>
      <c r="B205" t="inlineStr">
        <is>
          <t>Big Time</t>
        </is>
      </c>
      <c r="C205" t="inlineStr"/>
      <c r="D205" t="inlineStr">
        <is>
          <t>M</t>
        </is>
      </c>
      <c r="E205" s="12" t="n"/>
      <c r="F205" s="12" t="n"/>
      <c r="G205" t="inlineStr"/>
      <c r="H205" s="12" t="inlineStr">
        <is>
          <t>COMPLETAR</t>
        </is>
      </c>
      <c r="I205" t="inlineStr">
        <is>
          <t>A verificar</t>
        </is>
      </c>
    </row>
    <row r="206">
      <c r="A206" t="n">
        <v>349261827</v>
      </c>
      <c r="B206" t="inlineStr">
        <is>
          <t>Big Time</t>
        </is>
      </c>
      <c r="C206" t="inlineStr"/>
      <c r="D206" t="inlineStr">
        <is>
          <t>L</t>
        </is>
      </c>
      <c r="E206" s="12" t="n"/>
      <c r="F206" s="12" t="n"/>
      <c r="G206" t="inlineStr"/>
      <c r="H206" s="12" t="inlineStr">
        <is>
          <t>COMPLETAR</t>
        </is>
      </c>
      <c r="I206" t="inlineStr">
        <is>
          <t>A verificar</t>
        </is>
      </c>
    </row>
    <row r="207">
      <c r="A207" t="n">
        <v>359825099</v>
      </c>
      <c r="B207" t="inlineStr">
        <is>
          <t>Esker 5.0</t>
        </is>
      </c>
      <c r="C207" t="inlineStr"/>
      <c r="D207" t="inlineStr">
        <is>
          <t>M</t>
        </is>
      </c>
      <c r="E207" s="12" t="n"/>
      <c r="F207" s="12" t="n"/>
      <c r="G207" t="inlineStr"/>
      <c r="H207" s="12" t="inlineStr">
        <is>
          <t>COMPLETAR</t>
        </is>
      </c>
      <c r="I207" t="inlineStr">
        <is>
          <t>A verificar</t>
        </is>
      </c>
    </row>
    <row r="208">
      <c r="A208" t="n">
        <v>359825099</v>
      </c>
      <c r="B208" t="inlineStr">
        <is>
          <t>Esker 5.0</t>
        </is>
      </c>
      <c r="C208" t="inlineStr"/>
      <c r="D208" t="inlineStr">
        <is>
          <t>L</t>
        </is>
      </c>
      <c r="E208" s="12" t="n"/>
      <c r="F208" s="12" t="n"/>
      <c r="G208" t="inlineStr"/>
      <c r="H208" s="12" t="inlineStr">
        <is>
          <t>COMPLETAR</t>
        </is>
      </c>
      <c r="I208" t="inlineStr">
        <is>
          <t>A verificar</t>
        </is>
      </c>
    </row>
    <row r="209">
      <c r="A209" t="n">
        <v>260342361</v>
      </c>
      <c r="B209" t="inlineStr">
        <is>
          <t>2Fold 20</t>
        </is>
      </c>
      <c r="C209" t="inlineStr"/>
      <c r="D209" t="inlineStr">
        <is>
          <t>Único</t>
        </is>
      </c>
      <c r="E209" s="9" t="n">
        <v>140</v>
      </c>
      <c r="F209" s="9" t="n">
        <v>185</v>
      </c>
      <c r="G209" t="inlineStr">
        <is>
          <t>Ficha del producto en TN</t>
        </is>
      </c>
      <c r="H209" s="9" t="inlineStr">
        <is>
          <t>Completo</t>
        </is>
      </c>
      <c r="I209" t="inlineStr">
        <is>
          <t>Sí</t>
        </is>
      </c>
    </row>
    <row r="210">
      <c r="A210" t="n">
        <v>260344367</v>
      </c>
      <c r="B210" t="inlineStr">
        <is>
          <t>2Fold 20 Fat</t>
        </is>
      </c>
      <c r="C210" t="inlineStr"/>
      <c r="D210" t="inlineStr">
        <is>
          <t>Único</t>
        </is>
      </c>
      <c r="E210" s="9" t="n">
        <v>140</v>
      </c>
      <c r="F210" s="9" t="n">
        <v>185</v>
      </c>
      <c r="G210" t="inlineStr">
        <is>
          <t>Ficha del producto en TN</t>
        </is>
      </c>
      <c r="H210" s="9" t="inlineStr">
        <is>
          <t>Completo</t>
        </is>
      </c>
      <c r="I210" t="inlineStr">
        <is>
          <t>Sí</t>
        </is>
      </c>
    </row>
    <row r="211">
      <c r="A211" t="n">
        <v>260343629</v>
      </c>
      <c r="B211" t="inlineStr">
        <is>
          <t>HSD P9</t>
        </is>
      </c>
      <c r="C211" t="inlineStr">
        <is>
          <t>Tern</t>
        </is>
      </c>
      <c r="D211" t="inlineStr">
        <is>
          <t>Único</t>
        </is>
      </c>
      <c r="E211" s="9" t="n">
        <v>150</v>
      </c>
      <c r="F211" s="9" t="n">
        <v>195</v>
      </c>
      <c r="G211" t="inlineStr">
        <is>
          <t>Ficha del producto en TN</t>
        </is>
      </c>
      <c r="H211" s="9" t="inlineStr">
        <is>
          <t>Completo</t>
        </is>
      </c>
      <c r="I211" t="inlineStr">
        <is>
          <t>Sí</t>
        </is>
      </c>
    </row>
    <row r="212">
      <c r="A212" t="n">
        <v>263963220</v>
      </c>
      <c r="B212" t="inlineStr">
        <is>
          <t>Quick Haul P9</t>
        </is>
      </c>
      <c r="C212" t="inlineStr">
        <is>
          <t>Tern</t>
        </is>
      </c>
      <c r="D212" t="inlineStr">
        <is>
          <t>Único</t>
        </is>
      </c>
      <c r="E212" s="9" t="n">
        <v>160</v>
      </c>
      <c r="F212" s="9" t="n">
        <v>195</v>
      </c>
      <c r="G212" t="inlineStr">
        <is>
          <t>Ficha del producto en TN</t>
        </is>
      </c>
      <c r="H212" s="9" t="inlineStr">
        <is>
          <t>Completo</t>
        </is>
      </c>
      <c r="I212" t="inlineStr">
        <is>
          <t>Sí</t>
        </is>
      </c>
    </row>
    <row r="213">
      <c r="A213" t="n">
        <v>349261766</v>
      </c>
      <c r="B213" t="inlineStr">
        <is>
          <t>E-Krabi</t>
        </is>
      </c>
      <c r="C213" t="inlineStr"/>
      <c r="D213" t="inlineStr">
        <is>
          <t>Único</t>
        </is>
      </c>
      <c r="E213" s="9" t="n">
        <v>160</v>
      </c>
      <c r="F213" s="9" t="n">
        <v>200</v>
      </c>
      <c r="G213" t="inlineStr">
        <is>
          <t>Ficha del producto en TN</t>
        </is>
      </c>
      <c r="H213" s="9" t="inlineStr">
        <is>
          <t>Completo</t>
        </is>
      </c>
      <c r="I213" t="inlineStr">
        <is>
          <t>Sí</t>
        </is>
      </c>
    </row>
    <row r="214">
      <c r="A214" t="n">
        <v>349261769</v>
      </c>
      <c r="B214" t="inlineStr">
        <is>
          <t>E-GOA</t>
        </is>
      </c>
      <c r="C214" t="inlineStr"/>
      <c r="D214" t="inlineStr">
        <is>
          <t>Único</t>
        </is>
      </c>
      <c r="E214" s="9" t="n">
        <v>150</v>
      </c>
      <c r="F214" s="9" t="n">
        <v>190</v>
      </c>
      <c r="G214" t="inlineStr">
        <is>
          <t>Ficha del producto en TN</t>
        </is>
      </c>
      <c r="H214" s="9" t="inlineStr">
        <is>
          <t>Completo</t>
        </is>
      </c>
      <c r="I214" t="inlineStr">
        <is>
          <t>Sí</t>
        </is>
      </c>
    </row>
    <row r="215">
      <c r="A215" t="n">
        <v>349261777</v>
      </c>
      <c r="B215" t="inlineStr">
        <is>
          <t>E-Easy Fat</t>
        </is>
      </c>
      <c r="C215" t="inlineStr"/>
      <c r="D215" t="inlineStr">
        <is>
          <t>Único</t>
        </is>
      </c>
      <c r="E215" s="9" t="n">
        <v>160</v>
      </c>
      <c r="F215" s="9" t="n">
        <v>200</v>
      </c>
      <c r="G215" t="inlineStr">
        <is>
          <t>Ficha del producto en TN</t>
        </is>
      </c>
      <c r="H215" s="9" t="inlineStr">
        <is>
          <t>Completo</t>
        </is>
      </c>
      <c r="I215" t="inlineStr">
        <is>
          <t>Sí</t>
        </is>
      </c>
    </row>
    <row r="216">
      <c r="A216" t="n">
        <v>260345186</v>
      </c>
      <c r="B216" t="inlineStr">
        <is>
          <t>Street 700c</t>
        </is>
      </c>
      <c r="C216" t="inlineStr"/>
      <c r="D216" t="inlineStr">
        <is>
          <t>Único</t>
        </is>
      </c>
      <c r="E216" s="12" t="n"/>
      <c r="F216" s="12" t="n"/>
      <c r="G216" t="inlineStr"/>
      <c r="H216" s="12" t="inlineStr">
        <is>
          <t>COMPLETAR</t>
        </is>
      </c>
      <c r="I216" t="inlineStr">
        <is>
          <t>A verificar</t>
        </is>
      </c>
    </row>
    <row r="217">
      <c r="A217" t="n">
        <v>349261743</v>
      </c>
      <c r="B217" t="inlineStr">
        <is>
          <t>The Tentacle</t>
        </is>
      </c>
      <c r="C217" t="inlineStr"/>
      <c r="D217" t="inlineStr">
        <is>
          <t>Único</t>
        </is>
      </c>
      <c r="E217" s="12" t="n"/>
      <c r="F217" s="12" t="n"/>
      <c r="G217" t="inlineStr"/>
      <c r="H217" s="12" t="inlineStr">
        <is>
          <t>COMPLETAR</t>
        </is>
      </c>
      <c r="I217" t="inlineStr">
        <is>
          <t>A verificar</t>
        </is>
      </c>
    </row>
    <row r="218">
      <c r="A218" t="n">
        <v>260340429</v>
      </c>
      <c r="B218" t="inlineStr">
        <is>
          <t>Link D8</t>
        </is>
      </c>
      <c r="C218" t="inlineStr"/>
      <c r="D218" t="inlineStr">
        <is>
          <t>Único</t>
        </is>
      </c>
      <c r="E218" s="12" t="n"/>
      <c r="F218" s="12" t="n"/>
      <c r="G218" t="inlineStr"/>
      <c r="H218" s="12" t="inlineStr">
        <is>
          <t>COMPLETAR</t>
        </is>
      </c>
      <c r="I218" t="inlineStr">
        <is>
          <t>A verificar</t>
        </is>
      </c>
    </row>
    <row r="219">
      <c r="A219" t="n">
        <v>260340659</v>
      </c>
      <c r="B219" t="inlineStr">
        <is>
          <t>Node D8</t>
        </is>
      </c>
      <c r="C219" t="inlineStr"/>
      <c r="D219" t="inlineStr">
        <is>
          <t>Único</t>
        </is>
      </c>
      <c r="E219" s="12" t="n"/>
      <c r="F219" s="12" t="n"/>
      <c r="G219" t="inlineStr"/>
      <c r="H219" s="12" t="inlineStr">
        <is>
          <t>COMPLETAR</t>
        </is>
      </c>
      <c r="I219" t="inlineStr">
        <is>
          <t>A verificar</t>
        </is>
      </c>
    </row>
    <row r="220">
      <c r="A220" t="n">
        <v>260341040</v>
      </c>
      <c r="B220" t="inlineStr">
        <is>
          <t>Link C8</t>
        </is>
      </c>
      <c r="C220" t="inlineStr"/>
      <c r="D220" t="inlineStr">
        <is>
          <t>Único</t>
        </is>
      </c>
      <c r="E220" s="12" t="n"/>
      <c r="F220" s="12" t="n"/>
      <c r="G220" t="inlineStr"/>
      <c r="H220" s="12" t="inlineStr">
        <is>
          <t>COMPLETAR</t>
        </is>
      </c>
      <c r="I220" t="inlineStr">
        <is>
          <t>A verificar</t>
        </is>
      </c>
    </row>
    <row r="221">
      <c r="A221" t="n">
        <v>260341051</v>
      </c>
      <c r="B221" t="inlineStr">
        <is>
          <t>Node D7i</t>
        </is>
      </c>
      <c r="C221" t="inlineStr"/>
      <c r="D221" t="inlineStr">
        <is>
          <t>Único</t>
        </is>
      </c>
      <c r="E221" s="12" t="n"/>
      <c r="F221" s="12" t="n"/>
      <c r="G221" t="inlineStr"/>
      <c r="H221" s="12" t="inlineStr">
        <is>
          <t>COMPLETAR</t>
        </is>
      </c>
      <c r="I221" t="inlineStr">
        <is>
          <t>A verificar</t>
        </is>
      </c>
    </row>
    <row r="222">
      <c r="A222" t="n">
        <v>260341563</v>
      </c>
      <c r="B222" t="inlineStr">
        <is>
          <t>Eclipse D16</t>
        </is>
      </c>
      <c r="C222" t="inlineStr"/>
      <c r="D222" t="inlineStr">
        <is>
          <t>Único</t>
        </is>
      </c>
      <c r="E222" s="12" t="n"/>
      <c r="F222" s="12" t="n"/>
      <c r="G222" t="inlineStr"/>
      <c r="H222" s="12" t="inlineStr">
        <is>
          <t>COMPLETAR</t>
        </is>
      </c>
      <c r="I222" t="inlineStr">
        <is>
          <t>A verificar</t>
        </is>
      </c>
    </row>
    <row r="223">
      <c r="A223" t="n">
        <v>260342182</v>
      </c>
      <c r="B223" t="inlineStr">
        <is>
          <t>Link A7</t>
        </is>
      </c>
      <c r="C223" t="inlineStr"/>
      <c r="D223" t="inlineStr">
        <is>
          <t>Único</t>
        </is>
      </c>
      <c r="E223" s="12" t="n"/>
      <c r="F223" s="12" t="n"/>
      <c r="G223" t="inlineStr"/>
      <c r="H223" s="12" t="inlineStr">
        <is>
          <t>COMPLETAR</t>
        </is>
      </c>
      <c r="I223" t="inlineStr">
        <is>
          <t>A verificar</t>
        </is>
      </c>
    </row>
    <row r="224">
      <c r="A224" t="n">
        <v>349261704</v>
      </c>
      <c r="B224" t="inlineStr">
        <is>
          <t>Hopper Mini</t>
        </is>
      </c>
      <c r="C224" t="inlineStr"/>
      <c r="D224" t="inlineStr">
        <is>
          <t>Único</t>
        </is>
      </c>
      <c r="E224" s="12" t="n"/>
      <c r="F224" s="12" t="n"/>
      <c r="G224" t="inlineStr"/>
      <c r="H224" s="12" t="inlineStr">
        <is>
          <t>COMPLETAR</t>
        </is>
      </c>
      <c r="I224" t="inlineStr">
        <is>
          <t>A verificar</t>
        </is>
      </c>
    </row>
    <row r="225">
      <c r="A225" t="n">
        <v>349261708</v>
      </c>
      <c r="B225" t="inlineStr">
        <is>
          <t>Hopper XL</t>
        </is>
      </c>
      <c r="C225" t="inlineStr"/>
      <c r="D225" t="inlineStr">
        <is>
          <t>Único</t>
        </is>
      </c>
      <c r="E225" s="12" t="n"/>
      <c r="F225" s="12" t="n"/>
      <c r="G225" t="inlineStr"/>
      <c r="H225" s="12" t="inlineStr">
        <is>
          <t>COMPLETAR</t>
        </is>
      </c>
      <c r="I225" t="inlineStr">
        <is>
          <t>A verificar</t>
        </is>
      </c>
    </row>
    <row r="226">
      <c r="A226" t="n">
        <v>349261749</v>
      </c>
      <c r="B226" t="inlineStr">
        <is>
          <t>Krabi V-brake</t>
        </is>
      </c>
      <c r="C226" t="inlineStr"/>
      <c r="D226" t="inlineStr">
        <is>
          <t>Único</t>
        </is>
      </c>
      <c r="E226" s="12" t="n"/>
      <c r="F226" s="12" t="n"/>
      <c r="G226" t="inlineStr"/>
      <c r="H226" s="12" t="inlineStr">
        <is>
          <t>COMPLETAR</t>
        </is>
      </c>
      <c r="I226" t="inlineStr">
        <is>
          <t>A verificar</t>
        </is>
      </c>
    </row>
    <row r="227">
      <c r="A227" t="n">
        <v>349261759</v>
      </c>
      <c r="B227" t="inlineStr">
        <is>
          <t>Krabi Disk</t>
        </is>
      </c>
      <c r="C227" t="inlineStr"/>
      <c r="D227" t="inlineStr">
        <is>
          <t>Único</t>
        </is>
      </c>
      <c r="E227" s="12" t="n"/>
      <c r="F227" s="12" t="n"/>
      <c r="G227" t="inlineStr"/>
      <c r="H227" s="12" t="inlineStr">
        <is>
          <t>COMPLETAR</t>
        </is>
      </c>
      <c r="I227" t="inlineStr">
        <is>
          <t>A verificar</t>
        </is>
      </c>
    </row>
    <row r="228">
      <c r="A228" t="n">
        <v>349261760</v>
      </c>
      <c r="B228" t="inlineStr">
        <is>
          <t>Lentus Mini</t>
        </is>
      </c>
      <c r="C228" t="inlineStr"/>
      <c r="D228" t="inlineStr">
        <is>
          <t>Único</t>
        </is>
      </c>
      <c r="E228" s="12" t="n"/>
      <c r="F228" s="12" t="n"/>
      <c r="G228" t="inlineStr"/>
      <c r="H228" s="12" t="inlineStr">
        <is>
          <t>COMPLETAR</t>
        </is>
      </c>
      <c r="I228" t="inlineStr">
        <is>
          <t>A verificar</t>
        </is>
      </c>
    </row>
    <row r="229">
      <c r="A229" t="n">
        <v>349261768</v>
      </c>
      <c r="B229" t="inlineStr">
        <is>
          <t>GOA V-brake</t>
        </is>
      </c>
      <c r="C229" t="inlineStr"/>
      <c r="D229" t="inlineStr">
        <is>
          <t>Único</t>
        </is>
      </c>
      <c r="E229" s="12" t="n"/>
      <c r="F229" s="12" t="n"/>
      <c r="G229" t="inlineStr"/>
      <c r="H229" s="12" t="inlineStr">
        <is>
          <t>COMPLETAR</t>
        </is>
      </c>
      <c r="I229" t="inlineStr">
        <is>
          <t>A verificar</t>
        </is>
      </c>
    </row>
    <row r="230">
      <c r="A230" t="n">
        <v>349261771</v>
      </c>
      <c r="B230" t="inlineStr">
        <is>
          <t>Easy Disk</t>
        </is>
      </c>
      <c r="C230" t="inlineStr"/>
      <c r="D230" t="inlineStr">
        <is>
          <t>Único</t>
        </is>
      </c>
      <c r="E230" s="12" t="n"/>
      <c r="F230" s="12" t="n"/>
      <c r="G230" t="inlineStr"/>
      <c r="H230" s="12" t="inlineStr">
        <is>
          <t>COMPLETAR</t>
        </is>
      </c>
      <c r="I230" t="inlineStr">
        <is>
          <t>A verificar</t>
        </is>
      </c>
    </row>
    <row r="231">
      <c r="A231" t="n">
        <v>349261778</v>
      </c>
      <c r="B231" t="inlineStr">
        <is>
          <t>Easy Fat</t>
        </is>
      </c>
      <c r="C231" t="inlineStr"/>
      <c r="D231" t="inlineStr">
        <is>
          <t>Único</t>
        </is>
      </c>
      <c r="E231" s="12" t="n"/>
      <c r="F231" s="12" t="n"/>
      <c r="G231" t="inlineStr"/>
      <c r="H231" s="12" t="inlineStr">
        <is>
          <t>COMPLETAR</t>
        </is>
      </c>
      <c r="I231" t="inlineStr">
        <is>
          <t>A verificar</t>
        </is>
      </c>
    </row>
    <row r="232">
      <c r="A232" t="n">
        <v>349261789</v>
      </c>
      <c r="B232" t="inlineStr">
        <is>
          <t>Easy 8</t>
        </is>
      </c>
      <c r="C232" t="inlineStr"/>
      <c r="D232" t="inlineStr">
        <is>
          <t>Único</t>
        </is>
      </c>
      <c r="E232" s="12" t="n"/>
      <c r="F232" s="12" t="n"/>
      <c r="G232" t="inlineStr"/>
      <c r="H232" s="12" t="inlineStr">
        <is>
          <t>COMPLETAR</t>
        </is>
      </c>
      <c r="I232" t="inlineStr">
        <is>
          <t>A verificar</t>
        </is>
      </c>
    </row>
    <row r="233">
      <c r="A233" t="n">
        <v>349261794</v>
      </c>
      <c r="B233" t="inlineStr">
        <is>
          <t>Speed Disk</t>
        </is>
      </c>
      <c r="C233" t="inlineStr"/>
      <c r="D233" t="inlineStr">
        <is>
          <t>Único</t>
        </is>
      </c>
      <c r="E233" s="12" t="n"/>
      <c r="F233" s="12" t="n"/>
      <c r="G233" t="inlineStr"/>
      <c r="H233" s="12" t="inlineStr">
        <is>
          <t>COMPLETAR</t>
        </is>
      </c>
      <c r="I233" t="inlineStr">
        <is>
          <t>A verificar</t>
        </is>
      </c>
    </row>
    <row r="234">
      <c r="A234" t="n">
        <v>349261833</v>
      </c>
      <c r="B234" t="inlineStr">
        <is>
          <t>Easy Fat Nexus</t>
        </is>
      </c>
      <c r="C234" t="inlineStr"/>
      <c r="D234" t="inlineStr">
        <is>
          <t>Único</t>
        </is>
      </c>
      <c r="E234" s="12" t="n"/>
      <c r="F234" s="12" t="n"/>
      <c r="G234" t="inlineStr"/>
      <c r="H234" s="12" t="inlineStr">
        <is>
          <t>COMPLETAR</t>
        </is>
      </c>
      <c r="I234" t="inlineStr">
        <is>
          <t>A verificar</t>
        </is>
      </c>
    </row>
    <row r="235">
      <c r="A235" t="n">
        <v>349261834</v>
      </c>
      <c r="B235" t="inlineStr">
        <is>
          <t>Lentus 8</t>
        </is>
      </c>
      <c r="C235" t="inlineStr"/>
      <c r="D235" t="inlineStr">
        <is>
          <t>Único</t>
        </is>
      </c>
      <c r="E235" s="12" t="n"/>
      <c r="F235" s="12" t="n"/>
      <c r="G235" t="inlineStr"/>
      <c r="H235" s="12" t="inlineStr">
        <is>
          <t>COMPLETAR</t>
        </is>
      </c>
      <c r="I235" t="inlineStr">
        <is>
          <t>A verificar</t>
        </is>
      </c>
    </row>
    <row r="236">
      <c r="A236" t="n">
        <v>321841921</v>
      </c>
      <c r="B236" t="inlineStr">
        <is>
          <t>Vecocraft Foldy-E Einhell</t>
        </is>
      </c>
      <c r="C236" t="inlineStr"/>
      <c r="D236" t="inlineStr">
        <is>
          <t>Único</t>
        </is>
      </c>
      <c r="E236" s="12" t="n"/>
      <c r="F236" s="12" t="n"/>
      <c r="G236" t="inlineStr"/>
      <c r="H236" s="12" t="inlineStr">
        <is>
          <t>COMPLETAR</t>
        </is>
      </c>
      <c r="I236" t="inlineStr">
        <is>
          <t>A verificar</t>
        </is>
      </c>
    </row>
    <row r="237">
      <c r="A237" t="n">
        <v>260347235</v>
      </c>
      <c r="B237" t="inlineStr">
        <is>
          <t>Brina2 X1000</t>
        </is>
      </c>
      <c r="C237" t="inlineStr"/>
      <c r="D237" t="inlineStr">
        <is>
          <t>Único</t>
        </is>
      </c>
      <c r="E237" s="12" t="n"/>
      <c r="F237" s="12" t="n"/>
      <c r="G237" t="inlineStr"/>
      <c r="H237" s="12" t="inlineStr">
        <is>
          <t>COMPLETAR</t>
        </is>
      </c>
      <c r="I237" t="inlineStr">
        <is>
          <t>A verificar</t>
        </is>
      </c>
    </row>
    <row r="238">
      <c r="A238" t="n">
        <v>264034402</v>
      </c>
      <c r="B238" t="inlineStr">
        <is>
          <t>Nbd S5I</t>
        </is>
      </c>
      <c r="C238" t="inlineStr"/>
      <c r="D238" t="inlineStr">
        <is>
          <t>Único</t>
        </is>
      </c>
      <c r="E238" s="12" t="n"/>
      <c r="F238" s="12" t="n"/>
      <c r="G238" t="inlineStr"/>
      <c r="H238" s="12" t="inlineStr">
        <is>
          <t>COMPLETAR</t>
        </is>
      </c>
      <c r="I238" t="inlineStr">
        <is>
          <t>A verificar</t>
        </is>
      </c>
    </row>
    <row r="239">
      <c r="A239" t="n">
        <v>273218901</v>
      </c>
      <c r="B239" t="inlineStr">
        <is>
          <t>Slim</t>
        </is>
      </c>
      <c r="C239" t="inlineStr"/>
      <c r="D239" t="inlineStr">
        <is>
          <t>Único</t>
        </is>
      </c>
      <c r="E239" s="12" t="n"/>
      <c r="F239" s="12" t="n"/>
      <c r="G239" t="inlineStr"/>
      <c r="H239" s="12" t="inlineStr">
        <is>
          <t>COMPLETAR</t>
        </is>
      </c>
      <c r="I239" t="inlineStr">
        <is>
          <t>A verificar</t>
        </is>
      </c>
    </row>
    <row r="240">
      <c r="A240" t="n">
        <v>273255228</v>
      </c>
      <c r="B240" t="inlineStr">
        <is>
          <t>X350</t>
        </is>
      </c>
      <c r="C240" t="inlineStr"/>
      <c r="D240" t="inlineStr">
        <is>
          <t>Único</t>
        </is>
      </c>
      <c r="E240" s="12" t="n"/>
      <c r="F240" s="12" t="n"/>
      <c r="G240" t="inlineStr"/>
      <c r="H240" s="12" t="inlineStr">
        <is>
          <t>COMPLETAR</t>
        </is>
      </c>
      <c r="I240" t="inlineStr">
        <is>
          <t>A verificar</t>
        </is>
      </c>
    </row>
    <row r="241">
      <c r="A241" t="n">
        <v>273267951</v>
      </c>
      <c r="B241" t="inlineStr">
        <is>
          <t>Enduro Pro X</t>
        </is>
      </c>
      <c r="C241" t="inlineStr"/>
      <c r="D241" t="inlineStr">
        <is>
          <t>Único</t>
        </is>
      </c>
      <c r="E241" s="12" t="n"/>
      <c r="F241" s="12" t="n"/>
      <c r="G241" t="inlineStr"/>
      <c r="H241" s="12" t="inlineStr">
        <is>
          <t>COMPLETAR</t>
        </is>
      </c>
      <c r="I241" t="inlineStr">
        <is>
          <t>A verificar</t>
        </is>
      </c>
    </row>
    <row r="242">
      <c r="A242" t="n">
        <v>291838862</v>
      </c>
      <c r="B242" t="inlineStr">
        <is>
          <t>Rider FT01 - 750W</t>
        </is>
      </c>
      <c r="C242" t="inlineStr"/>
      <c r="D242" t="inlineStr">
        <is>
          <t>Único</t>
        </is>
      </c>
      <c r="E242" s="12" t="n"/>
      <c r="F242" s="12" t="n"/>
      <c r="G242" t="inlineStr"/>
      <c r="H242" s="12" t="inlineStr">
        <is>
          <t>COMPLETAR</t>
        </is>
      </c>
      <c r="I242" t="inlineStr">
        <is>
          <t>A verificar</t>
        </is>
      </c>
    </row>
    <row r="243">
      <c r="A243" t="n">
        <v>338519904</v>
      </c>
      <c r="B243" t="inlineStr">
        <is>
          <t>Rider FT01 - 1000W</t>
        </is>
      </c>
      <c r="C243" t="inlineStr"/>
      <c r="D243" t="inlineStr">
        <is>
          <t>Único</t>
        </is>
      </c>
      <c r="E243" s="12" t="n"/>
      <c r="F243" s="12" t="n"/>
      <c r="G243" t="inlineStr"/>
      <c r="H243" s="12" t="inlineStr">
        <is>
          <t>COMPLETAR</t>
        </is>
      </c>
      <c r="I243" t="inlineStr">
        <is>
          <t>A verificar</t>
        </is>
      </c>
    </row>
    <row r="244">
      <c r="A244" t="n">
        <v>314027238</v>
      </c>
      <c r="B244" t="inlineStr">
        <is>
          <t>Segway Xyber</t>
        </is>
      </c>
      <c r="C244" t="inlineStr"/>
      <c r="D244" t="inlineStr">
        <is>
          <t>Único</t>
        </is>
      </c>
      <c r="E244" s="12" t="n"/>
      <c r="F244" s="12" t="n"/>
      <c r="G244" t="inlineStr"/>
      <c r="H244" s="12" t="inlineStr">
        <is>
          <t>COMPLETAR</t>
        </is>
      </c>
      <c r="I244" t="inlineStr">
        <is>
          <t>A verificar</t>
        </is>
      </c>
    </row>
    <row r="245">
      <c r="A245" t="n">
        <v>314180547</v>
      </c>
      <c r="B245" t="inlineStr">
        <is>
          <t>Chopper FT02</t>
        </is>
      </c>
      <c r="C245" t="inlineStr"/>
      <c r="D245" t="inlineStr">
        <is>
          <t>Único</t>
        </is>
      </c>
      <c r="E245" s="12" t="n"/>
      <c r="F245" s="12" t="n"/>
      <c r="G245" t="inlineStr"/>
      <c r="H245" s="12" t="inlineStr">
        <is>
          <t>COMPLETAR</t>
        </is>
      </c>
      <c r="I245" t="inlineStr">
        <is>
          <t>A verificar</t>
        </is>
      </c>
    </row>
    <row r="246">
      <c r="A246" t="n">
        <v>339104476</v>
      </c>
      <c r="B246" t="inlineStr">
        <is>
          <t>HTK 1000M</t>
        </is>
      </c>
      <c r="C246" t="inlineStr"/>
      <c r="D246" t="inlineStr">
        <is>
          <t>Único</t>
        </is>
      </c>
      <c r="E246" s="12" t="n"/>
      <c r="F246" s="12" t="n"/>
      <c r="G246" t="inlineStr"/>
      <c r="H246" s="12" t="inlineStr">
        <is>
          <t>COMPLETAR</t>
        </is>
      </c>
      <c r="I246" t="inlineStr">
        <is>
          <t>A verificar</t>
        </is>
      </c>
    </row>
    <row r="247">
      <c r="A247" t="n">
        <v>347573632</v>
      </c>
      <c r="B247" t="inlineStr">
        <is>
          <t>Ponyboy</t>
        </is>
      </c>
      <c r="C247" t="inlineStr"/>
      <c r="D247" t="inlineStr">
        <is>
          <t>Único</t>
        </is>
      </c>
      <c r="E247" s="12" t="n"/>
      <c r="F247" s="12" t="n"/>
      <c r="G247" t="inlineStr"/>
      <c r="H247" s="12" t="inlineStr">
        <is>
          <t>COMPLETAR</t>
        </is>
      </c>
      <c r="I247" t="inlineStr">
        <is>
          <t>A verificar</t>
        </is>
      </c>
    </row>
    <row r="248">
      <c r="A248" t="n">
        <v>361026582</v>
      </c>
      <c r="B248" t="inlineStr">
        <is>
          <t>City</t>
        </is>
      </c>
      <c r="C248" t="inlineStr"/>
      <c r="D248" t="inlineStr">
        <is>
          <t>Único</t>
        </is>
      </c>
      <c r="E248" s="12" t="n"/>
      <c r="F248" s="12" t="n"/>
      <c r="G248" t="inlineStr"/>
      <c r="H248" s="12" t="inlineStr">
        <is>
          <t>COMPLETAR</t>
        </is>
      </c>
      <c r="I248" t="inlineStr">
        <is>
          <t>A verificar</t>
        </is>
      </c>
    </row>
    <row r="249">
      <c r="A249" t="n">
        <v>304920554</v>
      </c>
      <c r="B249" t="inlineStr">
        <is>
          <t>Bayview Trail 24"</t>
        </is>
      </c>
      <c r="C249" t="inlineStr">
        <is>
          <t>Marin</t>
        </is>
      </c>
      <c r="D249" t="inlineStr">
        <is>
          <t>Único</t>
        </is>
      </c>
      <c r="E249" s="9" t="n">
        <v>122</v>
      </c>
      <c r="F249" s="9" t="n">
        <v>142</v>
      </c>
      <c r="G249" t="inlineStr">
        <is>
          <t>Guía Marin 2022 (PDF)</t>
        </is>
      </c>
      <c r="H249" s="9" t="inlineStr">
        <is>
          <t>Completo</t>
        </is>
      </c>
      <c r="I249" t="inlineStr">
        <is>
          <t>A verificar</t>
        </is>
      </c>
    </row>
    <row r="250">
      <c r="A250" t="n">
        <v>354117262</v>
      </c>
      <c r="B250" t="inlineStr">
        <is>
          <t>San Quentin 24"</t>
        </is>
      </c>
      <c r="C250" t="inlineStr">
        <is>
          <t>Marin</t>
        </is>
      </c>
      <c r="D250" t="inlineStr">
        <is>
          <t>Único</t>
        </is>
      </c>
      <c r="E250" s="9" t="n">
        <v>122</v>
      </c>
      <c r="F250" s="9" t="n">
        <v>142</v>
      </c>
      <c r="G250" t="inlineStr">
        <is>
          <t>Guía Marin 2022 (PDF)</t>
        </is>
      </c>
      <c r="H250" s="9" t="inlineStr">
        <is>
          <t>Completo</t>
        </is>
      </c>
      <c r="I250" t="inlineStr">
        <is>
          <t>A verificar</t>
        </is>
      </c>
    </row>
    <row r="251">
      <c r="A251" t="n">
        <v>353164252</v>
      </c>
      <c r="B251" t="inlineStr">
        <is>
          <t>Rift Zone 26</t>
        </is>
      </c>
      <c r="C251" t="inlineStr">
        <is>
          <t>Marin</t>
        </is>
      </c>
      <c r="D251" t="inlineStr">
        <is>
          <t>Único</t>
        </is>
      </c>
      <c r="E251" s="9" t="n">
        <v>137</v>
      </c>
      <c r="F251" s="9" t="n">
        <v>157</v>
      </c>
      <c r="G251" t="inlineStr">
        <is>
          <t>Guía Marin 2022 (PDF)</t>
        </is>
      </c>
      <c r="H251" s="9" t="inlineStr">
        <is>
          <t>Completo</t>
        </is>
      </c>
      <c r="I251" t="inlineStr">
        <is>
          <t>A verificar</t>
        </is>
      </c>
    </row>
    <row r="252">
      <c r="A252" t="n">
        <v>305009753</v>
      </c>
      <c r="B252" t="inlineStr">
        <is>
          <t>Bayview Trail 20"</t>
        </is>
      </c>
      <c r="C252" t="inlineStr">
        <is>
          <t>Marin</t>
        </is>
      </c>
      <c r="D252" t="inlineStr">
        <is>
          <t>Único</t>
        </is>
      </c>
      <c r="E252" s="12" t="n"/>
      <c r="F252" s="12" t="n"/>
      <c r="G252" t="inlineStr"/>
      <c r="H252" s="12" t="inlineStr">
        <is>
          <t>COMPLETAR</t>
        </is>
      </c>
      <c r="I252" t="inlineStr">
        <is>
          <t>A verificar</t>
        </is>
      </c>
    </row>
    <row r="253">
      <c r="A253" t="n">
        <v>260342484</v>
      </c>
      <c r="B253" t="inlineStr">
        <is>
          <t>Power</t>
        </is>
      </c>
      <c r="C253" t="inlineStr"/>
      <c r="D253" t="inlineStr">
        <is>
          <t>Único</t>
        </is>
      </c>
      <c r="E253" s="12" t="n"/>
      <c r="F253" s="12" t="n"/>
      <c r="G253" t="inlineStr"/>
      <c r="H253" s="12" t="inlineStr">
        <is>
          <t>COMPLETAR</t>
        </is>
      </c>
      <c r="I253" t="inlineStr">
        <is>
          <t>A verificar</t>
        </is>
      </c>
    </row>
    <row r="254">
      <c r="A254" t="n">
        <v>260342490</v>
      </c>
      <c r="B254" t="inlineStr">
        <is>
          <t>Jumper</t>
        </is>
      </c>
      <c r="C254" t="inlineStr"/>
      <c r="D254" t="inlineStr">
        <is>
          <t>Único</t>
        </is>
      </c>
      <c r="E254" s="12" t="n"/>
      <c r="F254" s="12" t="n"/>
      <c r="G254" t="inlineStr"/>
      <c r="H254" s="12" t="inlineStr">
        <is>
          <t>COMPLETAR</t>
        </is>
      </c>
      <c r="I254" t="inlineStr">
        <is>
          <t>A verificar</t>
        </is>
      </c>
    </row>
    <row r="255">
      <c r="A255" t="n">
        <v>349261711</v>
      </c>
      <c r="B255" t="inlineStr">
        <is>
          <t>Bubble 14 Race</t>
        </is>
      </c>
      <c r="C255" t="inlineStr"/>
      <c r="D255" t="inlineStr">
        <is>
          <t>Único</t>
        </is>
      </c>
      <c r="E255" s="10" t="n">
        <v>95</v>
      </c>
      <c r="F255" s="10" t="n">
        <v>110</v>
      </c>
      <c r="G255" t="inlineStr">
        <is>
          <t>Estimado por rodado (tabla genérica)</t>
        </is>
      </c>
      <c r="H255" s="10" t="inlineStr">
        <is>
          <t>Estimado por rodado</t>
        </is>
      </c>
      <c r="I255" t="inlineStr">
        <is>
          <t>A verificar</t>
        </is>
      </c>
    </row>
    <row r="256">
      <c r="A256" t="n">
        <v>349261714</v>
      </c>
      <c r="B256" t="inlineStr">
        <is>
          <t>Bubble 16 Race</t>
        </is>
      </c>
      <c r="C256" t="inlineStr"/>
      <c r="D256" t="inlineStr">
        <is>
          <t>Único</t>
        </is>
      </c>
      <c r="E256" s="10" t="n">
        <v>105</v>
      </c>
      <c r="F256" s="10" t="n">
        <v>120</v>
      </c>
      <c r="G256" t="inlineStr">
        <is>
          <t>Estimado por rodado (tabla genérica)</t>
        </is>
      </c>
      <c r="H256" s="10" t="inlineStr">
        <is>
          <t>Estimado por rodado</t>
        </is>
      </c>
      <c r="I256" t="inlineStr">
        <is>
          <t>A verificar</t>
        </is>
      </c>
    </row>
    <row r="257">
      <c r="A257" t="n">
        <v>349261795</v>
      </c>
      <c r="B257" t="inlineStr">
        <is>
          <t>Bubble 20 Race</t>
        </is>
      </c>
      <c r="C257" t="inlineStr"/>
      <c r="D257" t="inlineStr">
        <is>
          <t>Único</t>
        </is>
      </c>
      <c r="E257" s="10" t="n">
        <v>115</v>
      </c>
      <c r="F257" s="10" t="n">
        <v>135</v>
      </c>
      <c r="G257" t="inlineStr">
        <is>
          <t>Estimado por rodado (tabla genérica)</t>
        </is>
      </c>
      <c r="H257" s="10" t="inlineStr">
        <is>
          <t>Estimado por rodado</t>
        </is>
      </c>
      <c r="I257" t="inlineStr">
        <is>
          <t>A verificar</t>
        </is>
      </c>
    </row>
    <row r="258">
      <c r="A258" t="n">
        <v>349261721</v>
      </c>
      <c r="B258" t="inlineStr">
        <is>
          <t>Bubble 24 Race</t>
        </is>
      </c>
      <c r="C258" t="inlineStr"/>
      <c r="D258" t="inlineStr">
        <is>
          <t>Único</t>
        </is>
      </c>
      <c r="E258" s="10" t="n">
        <v>130</v>
      </c>
      <c r="F258" s="10" t="n">
        <v>150</v>
      </c>
      <c r="G258" t="inlineStr">
        <is>
          <t>Estimado por rodado (tabla genérica)</t>
        </is>
      </c>
      <c r="H258" s="10" t="inlineStr">
        <is>
          <t>Estimado por rodado</t>
        </is>
      </c>
      <c r="I258" t="inlineStr">
        <is>
          <t>A verificar</t>
        </is>
      </c>
    </row>
    <row r="259">
      <c r="A259" t="n">
        <v>349261724</v>
      </c>
      <c r="B259" t="inlineStr">
        <is>
          <t>Bubble 26 Race</t>
        </is>
      </c>
      <c r="C259" t="inlineStr"/>
      <c r="D259" t="inlineStr">
        <is>
          <t>Único</t>
        </is>
      </c>
      <c r="E259" s="10" t="n">
        <v>145</v>
      </c>
      <c r="F259" s="10" t="n">
        <v>165</v>
      </c>
      <c r="G259" t="inlineStr">
        <is>
          <t>Estimado por rodado (tabla genérica)</t>
        </is>
      </c>
      <c r="H259" s="10" t="inlineStr">
        <is>
          <t>Estimado por rodado</t>
        </is>
      </c>
      <c r="I259" t="inlineStr">
        <is>
          <t>A verificar</t>
        </is>
      </c>
    </row>
    <row r="260">
      <c r="A260" t="n">
        <v>349261718</v>
      </c>
      <c r="B260" t="inlineStr">
        <is>
          <t>Bubble 27,5 Race</t>
        </is>
      </c>
      <c r="C260" t="inlineStr"/>
      <c r="D260" t="inlineStr">
        <is>
          <t>Único</t>
        </is>
      </c>
      <c r="E260" s="10" t="n">
        <v>150</v>
      </c>
      <c r="F260" s="10" t="n">
        <v>175</v>
      </c>
      <c r="G260" t="inlineStr">
        <is>
          <t>Estimado por rodado (tabla genérica)</t>
        </is>
      </c>
      <c r="H260" s="10" t="inlineStr">
        <is>
          <t>Estimado por rodado</t>
        </is>
      </c>
      <c r="I260" t="inlineStr">
        <is>
          <t>A verificar</t>
        </is>
      </c>
    </row>
    <row r="261">
      <c r="A261" t="n">
        <v>349261814</v>
      </c>
      <c r="B261" t="inlineStr">
        <is>
          <t>Chloe 16 Race</t>
        </is>
      </c>
      <c r="C261" t="inlineStr"/>
      <c r="D261" t="inlineStr">
        <is>
          <t>Único</t>
        </is>
      </c>
      <c r="E261" s="10" t="n">
        <v>105</v>
      </c>
      <c r="F261" s="10" t="n">
        <v>120</v>
      </c>
      <c r="G261" t="inlineStr">
        <is>
          <t>Estimado por rodado (tabla genérica)</t>
        </is>
      </c>
      <c r="H261" s="10" t="inlineStr">
        <is>
          <t>Estimado por rodado</t>
        </is>
      </c>
      <c r="I261" t="inlineStr">
        <is>
          <t>A verificar</t>
        </is>
      </c>
    </row>
    <row r="262">
      <c r="A262" t="n">
        <v>349261799</v>
      </c>
      <c r="B262" t="inlineStr">
        <is>
          <t>Chloe 20 Race</t>
        </is>
      </c>
      <c r="C262" t="inlineStr"/>
      <c r="D262" t="inlineStr">
        <is>
          <t>Único</t>
        </is>
      </c>
      <c r="E262" s="10" t="n">
        <v>115</v>
      </c>
      <c r="F262" s="10" t="n">
        <v>135</v>
      </c>
      <c r="G262" t="inlineStr">
        <is>
          <t>Estimado por rodado (tabla genérica)</t>
        </is>
      </c>
      <c r="H262" s="10" t="inlineStr">
        <is>
          <t>Estimado por rodado</t>
        </is>
      </c>
      <c r="I262" t="inlineStr">
        <is>
          <t>A verificar</t>
        </is>
      </c>
    </row>
    <row r="263">
      <c r="A263" t="n">
        <v>349261804</v>
      </c>
      <c r="B263" t="inlineStr">
        <is>
          <t>Chloe 24 Race</t>
        </is>
      </c>
      <c r="C263" t="inlineStr"/>
      <c r="D263" t="inlineStr">
        <is>
          <t>Único</t>
        </is>
      </c>
      <c r="E263" s="10" t="n">
        <v>130</v>
      </c>
      <c r="F263" s="10" t="n">
        <v>150</v>
      </c>
      <c r="G263" t="inlineStr">
        <is>
          <t>Estimado por rodado (tabla genérica)</t>
        </is>
      </c>
      <c r="H263" s="10" t="inlineStr">
        <is>
          <t>Estimado por rodado</t>
        </is>
      </c>
      <c r="I263" t="inlineStr">
        <is>
          <t>A verificar</t>
        </is>
      </c>
    </row>
    <row r="264">
      <c r="A264" t="n">
        <v>349261809</v>
      </c>
      <c r="B264" t="inlineStr">
        <is>
          <t>Chloe 26 Race</t>
        </is>
      </c>
      <c r="C264" t="inlineStr"/>
      <c r="D264" t="inlineStr">
        <is>
          <t>Único</t>
        </is>
      </c>
      <c r="E264" s="10" t="n">
        <v>145</v>
      </c>
      <c r="F264" s="10" t="n">
        <v>165</v>
      </c>
      <c r="G264" t="inlineStr">
        <is>
          <t>Estimado por rodado (tabla genérica)</t>
        </is>
      </c>
      <c r="H264" s="10" t="inlineStr">
        <is>
          <t>Estimado por rodado</t>
        </is>
      </c>
      <c r="I264" t="inlineStr">
        <is>
          <t>A verificar</t>
        </is>
      </c>
    </row>
    <row r="265">
      <c r="A265" t="n">
        <v>349261720</v>
      </c>
      <c r="B265" t="inlineStr">
        <is>
          <t>Chloe 27.5 Race</t>
        </is>
      </c>
      <c r="C265" t="inlineStr"/>
      <c r="D265" t="inlineStr">
        <is>
          <t>Único</t>
        </is>
      </c>
      <c r="E265" s="10" t="n">
        <v>150</v>
      </c>
      <c r="F265" s="10" t="n">
        <v>175</v>
      </c>
      <c r="G265" t="inlineStr">
        <is>
          <t>Estimado por rodado (tabla genérica)</t>
        </is>
      </c>
      <c r="H265" s="10" t="inlineStr">
        <is>
          <t>Estimado por rodado</t>
        </is>
      </c>
      <c r="I265" t="inlineStr">
        <is>
          <t>A verificar</t>
        </is>
      </c>
    </row>
    <row r="266">
      <c r="A266" t="n">
        <v>350552513</v>
      </c>
      <c r="B266" t="inlineStr">
        <is>
          <t>Ant</t>
        </is>
      </c>
      <c r="C266" t="inlineStr"/>
      <c r="D266" t="inlineStr">
        <is>
          <t>Único</t>
        </is>
      </c>
      <c r="E266" s="12" t="n"/>
      <c r="F266" s="12" t="n"/>
      <c r="G266" t="inlineStr"/>
      <c r="H266" s="12" t="inlineStr">
        <is>
          <t>COMPLETAR</t>
        </is>
      </c>
      <c r="I266" t="inlineStr">
        <is>
          <t>A verificar</t>
        </is>
      </c>
    </row>
    <row r="268">
      <c r="A268" s="11" t="inlineStr">
        <is>
          <t>Verde = ya cargado. Amarillo = estimado con la guía de un modelo parecido (validar). Rojo = COMPLETAR. Una vez completo, este rango se usa para recomendar el talle y se puede agregar al final de la descripción de cada producto en Tiendanube.</t>
        </is>
      </c>
    </row>
  </sheetData>
  <autoFilter ref="A1:I266"/>
  <dataValidations count="1">
    <dataValidation sqref="I2:I366" showDropDown="0" showInputMessage="0" showErrorMessage="0" allowBlank="1" type="list">
      <formula1>"Sí,No,A verificar"</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24" customWidth="1" min="4" max="4"/>
    <col width="26" customWidth="1" min="5" max="5"/>
  </cols>
  <sheetData>
    <row r="1" ht="34" customHeight="1">
      <c r="A1" s="6" t="inlineStr">
        <is>
          <t>Talle de cuadro</t>
        </is>
      </c>
      <c r="B1" s="6" t="inlineStr">
        <is>
          <t>Altura desde (cm)</t>
        </is>
      </c>
      <c r="C1" s="6" t="inlineStr">
        <is>
          <t>Altura hasta (cm)</t>
        </is>
      </c>
      <c r="D1" s="6" t="inlineStr">
        <is>
          <t>Equivalente MTB (pulgadas)</t>
        </is>
      </c>
      <c r="E1" s="6" t="inlineStr">
        <is>
          <t>Equivalente ruta/gravel (cm)</t>
        </is>
      </c>
    </row>
    <row r="2">
      <c r="A2" t="inlineStr">
        <is>
          <t>XXS</t>
        </is>
      </c>
      <c r="B2" t="n">
        <v>135</v>
      </c>
      <c r="C2" t="n">
        <v>152</v>
      </c>
      <c r="D2" t="inlineStr">
        <is>
          <t>—</t>
        </is>
      </c>
      <c r="E2" t="inlineStr">
        <is>
          <t>—</t>
        </is>
      </c>
    </row>
    <row r="3">
      <c r="A3" t="inlineStr">
        <is>
          <t>XS</t>
        </is>
      </c>
      <c r="B3" t="n">
        <v>148</v>
      </c>
      <c r="C3" t="n">
        <v>163</v>
      </c>
      <c r="D3" t="inlineStr">
        <is>
          <t>13–14"</t>
        </is>
      </c>
      <c r="E3" t="inlineStr">
        <is>
          <t>&lt; 50</t>
        </is>
      </c>
    </row>
    <row r="4">
      <c r="A4" t="inlineStr">
        <is>
          <t>S</t>
        </is>
      </c>
      <c r="B4" t="n">
        <v>158</v>
      </c>
      <c r="C4" t="n">
        <v>172</v>
      </c>
      <c r="D4" t="inlineStr">
        <is>
          <t>15–16"</t>
        </is>
      </c>
      <c r="E4" t="inlineStr">
        <is>
          <t>50–52</t>
        </is>
      </c>
    </row>
    <row r="5">
      <c r="A5" t="inlineStr">
        <is>
          <t>M</t>
        </is>
      </c>
      <c r="B5" t="n">
        <v>168</v>
      </c>
      <c r="C5" t="n">
        <v>181</v>
      </c>
      <c r="D5" t="inlineStr">
        <is>
          <t>17–18"</t>
        </is>
      </c>
      <c r="E5" t="inlineStr">
        <is>
          <t>53–55</t>
        </is>
      </c>
    </row>
    <row r="6">
      <c r="A6" t="inlineStr">
        <is>
          <t>L</t>
        </is>
      </c>
      <c r="B6" t="n">
        <v>177</v>
      </c>
      <c r="C6" t="n">
        <v>190</v>
      </c>
      <c r="D6" t="inlineStr">
        <is>
          <t>19–20"</t>
        </is>
      </c>
      <c r="E6" t="inlineStr">
        <is>
          <t>56–58</t>
        </is>
      </c>
    </row>
    <row r="7">
      <c r="A7" t="inlineStr">
        <is>
          <t>XL</t>
        </is>
      </c>
      <c r="B7" t="n">
        <v>186</v>
      </c>
      <c r="C7" t="n">
        <v>198</v>
      </c>
      <c r="D7" t="inlineStr">
        <is>
          <t>21"+</t>
        </is>
      </c>
      <c r="E7" t="inlineStr">
        <is>
          <t>59+</t>
        </is>
      </c>
    </row>
    <row r="8">
      <c r="A8" t="inlineStr">
        <is>
          <t>XXL</t>
        </is>
      </c>
      <c r="B8" t="n">
        <v>194</v>
      </c>
      <c r="C8" t="n">
        <v>210</v>
      </c>
      <c r="D8" t="inlineStr">
        <is>
          <t>—</t>
        </is>
      </c>
      <c r="E8" t="inlineStr">
        <is>
          <t>—</t>
        </is>
      </c>
    </row>
    <row r="10">
      <c r="A10" s="13" t="inlineStr">
        <is>
          <t>Rodado (infantiles)</t>
        </is>
      </c>
      <c r="B10" s="13" t="inlineStr">
        <is>
          <t>Altura desde (cm)</t>
        </is>
      </c>
      <c r="C10" s="13" t="inlineStr">
        <is>
          <t>Altura hasta (cm)</t>
        </is>
      </c>
      <c r="D10" s="13" t="inlineStr">
        <is>
          <t>Edad aprox.</t>
        </is>
      </c>
      <c r="E10" s="13" t="inlineStr"/>
    </row>
    <row r="11">
      <c r="A11" t="inlineStr">
        <is>
          <t>12"</t>
        </is>
      </c>
      <c r="B11" t="n">
        <v>85</v>
      </c>
      <c r="C11" t="n">
        <v>100</v>
      </c>
      <c r="D11" t="inlineStr">
        <is>
          <t>2–4 años</t>
        </is>
      </c>
    </row>
    <row r="12">
      <c r="A12" t="inlineStr">
        <is>
          <t>14"</t>
        </is>
      </c>
      <c r="B12" t="n">
        <v>95</v>
      </c>
      <c r="C12" t="n">
        <v>110</v>
      </c>
      <c r="D12" t="inlineStr">
        <is>
          <t>3–5 años</t>
        </is>
      </c>
    </row>
    <row r="13">
      <c r="A13" t="inlineStr">
        <is>
          <t>16"</t>
        </is>
      </c>
      <c r="B13" t="n">
        <v>105</v>
      </c>
      <c r="C13" t="n">
        <v>120</v>
      </c>
      <c r="D13" t="inlineStr">
        <is>
          <t>4–6 años</t>
        </is>
      </c>
    </row>
    <row r="14">
      <c r="A14" t="inlineStr">
        <is>
          <t>20"</t>
        </is>
      </c>
      <c r="B14" t="n">
        <v>115</v>
      </c>
      <c r="C14" t="n">
        <v>135</v>
      </c>
      <c r="D14" t="inlineStr">
        <is>
          <t>6–9 años</t>
        </is>
      </c>
    </row>
    <row r="15">
      <c r="A15" t="inlineStr">
        <is>
          <t>24"</t>
        </is>
      </c>
      <c r="B15" t="n">
        <v>130</v>
      </c>
      <c r="C15" t="n">
        <v>150</v>
      </c>
      <c r="D15" t="inlineStr">
        <is>
          <t>8–12 años</t>
        </is>
      </c>
    </row>
    <row r="16">
      <c r="A16" t="inlineStr">
        <is>
          <t>26"</t>
        </is>
      </c>
      <c r="B16" t="n">
        <v>145</v>
      </c>
      <c r="C16" t="n">
        <v>165</v>
      </c>
      <c r="D16" t="inlineStr">
        <is>
          <t>11+ años</t>
        </is>
      </c>
    </row>
    <row r="17">
      <c r="A17" t="inlineStr">
        <is>
          <t>27,5"</t>
        </is>
      </c>
      <c r="B17" t="n">
        <v>150</v>
      </c>
      <c r="C17" t="n">
        <v>175</v>
      </c>
      <c r="D17" t="inlineStr">
        <is>
          <t>juvenil</t>
        </is>
      </c>
    </row>
    <row r="19">
      <c r="A19" t="inlineStr">
        <is>
          <t>Solo se usa si el modelo no está en 'Altura por modelo'. El asesor lo muestra como talle orientativo.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36" customWidth="1" min="1" max="1"/>
    <col width="24" customWidth="1" min="2" max="2"/>
    <col width="20" customWidth="1" min="3" max="3"/>
  </cols>
  <sheetData>
    <row r="1" ht="34" customHeight="1">
      <c r="A1" s="6" t="inlineStr">
        <is>
          <t>Tipo de vehículo</t>
        </is>
      </c>
      <c r="B1" s="6" t="inlineStr">
        <is>
          <t>Propulsión</t>
        </is>
      </c>
      <c r="C1" s="6" t="inlineStr">
        <is>
          <t>Terreno apto</t>
        </is>
      </c>
    </row>
    <row r="2">
      <c r="A2" t="inlineStr">
        <is>
          <t>Bici urbana</t>
        </is>
      </c>
      <c r="B2" t="inlineStr">
        <is>
          <t>Pedal</t>
        </is>
      </c>
      <c r="C2" t="inlineStr">
        <is>
          <t>Asfalto</t>
        </is>
      </c>
    </row>
    <row r="3">
      <c r="A3" t="inlineStr">
        <is>
          <t>Bici plegable</t>
        </is>
      </c>
      <c r="B3" t="inlineStr">
        <is>
          <t>Asistida</t>
        </is>
      </c>
      <c r="C3" t="inlineStr">
        <is>
          <t>Asfalto y mixto</t>
        </is>
      </c>
    </row>
    <row r="4">
      <c r="A4" t="inlineStr">
        <is>
          <t>Bici gravel</t>
        </is>
      </c>
      <c r="B4" t="inlineStr">
        <is>
          <t>Asistida + acelerador</t>
        </is>
      </c>
      <c r="C4" t="inlineStr">
        <is>
          <t>Mixto y tierra</t>
        </is>
      </c>
    </row>
    <row r="5">
      <c r="A5" t="inlineStr">
        <is>
          <t>Bici gravel/ruta</t>
        </is>
      </c>
      <c r="B5" t="inlineStr">
        <is>
          <t>Eléctrica</t>
        </is>
      </c>
      <c r="C5" t="inlineStr">
        <is>
          <t>Todo terreno</t>
        </is>
      </c>
    </row>
    <row r="6">
      <c r="A6" t="inlineStr">
        <is>
          <t>Bici gravel/MTB</t>
        </is>
      </c>
    </row>
    <row r="7">
      <c r="A7" t="inlineStr">
        <is>
          <t>Bici de ruta</t>
        </is>
      </c>
    </row>
    <row r="8">
      <c r="A8" t="inlineStr">
        <is>
          <t>Bici de montaña (MTB)</t>
        </is>
      </c>
    </row>
    <row r="9">
      <c r="A9" t="inlineStr">
        <is>
          <t>Bici dirt/stunt</t>
        </is>
      </c>
    </row>
    <row r="10">
      <c r="A10" t="inlineStr">
        <is>
          <t>Bici de carga</t>
        </is>
      </c>
    </row>
    <row r="11">
      <c r="A11" t="inlineStr">
        <is>
          <t>Bici infantil/juvenil</t>
        </is>
      </c>
    </row>
    <row r="12">
      <c r="A12" t="inlineStr">
        <is>
          <t>Bici eléctrica urbana</t>
        </is>
      </c>
    </row>
    <row r="13">
      <c r="A13" t="inlineStr">
        <is>
          <t>Bici eléctrica plegable</t>
        </is>
      </c>
    </row>
    <row r="14">
      <c r="A14" t="inlineStr">
        <is>
          <t>Bici eléctrica plegable (rodado ancho)</t>
        </is>
      </c>
    </row>
    <row r="15">
      <c r="A15" t="inlineStr">
        <is>
          <t>Bici eléctrica urbana/MTB</t>
        </is>
      </c>
    </row>
    <row r="16">
      <c r="A16" t="inlineStr">
        <is>
          <t>Bici eléctrica tipo moto</t>
        </is>
      </c>
    </row>
    <row r="17">
      <c r="A17" t="inlineStr">
        <is>
          <t>Bici eléctrica de carga</t>
        </is>
      </c>
    </row>
    <row r="18">
      <c r="A18" t="inlineStr">
        <is>
          <t>Bici eléctrica de montaña (eMTB)</t>
        </is>
      </c>
    </row>
    <row r="19">
      <c r="A19" t="inlineStr">
        <is>
          <t>Monopatín eléctrico</t>
        </is>
      </c>
    </row>
    <row r="20">
      <c r="A20" t="inlineStr">
        <is>
          <t>Moto eléctrica</t>
        </is>
      </c>
    </row>
    <row r="21">
      <c r="A21" t="inlineStr">
        <is>
          <t>Moto eléctrica (scooter)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2026-09-27T17:52:16Z</dcterms:created>
  <dcterms:modified xsi:type="dcterms:W3CDTF">2026-09-27T17:52:16Z</dcterms:modified>
</cp:coreProperties>
</file>